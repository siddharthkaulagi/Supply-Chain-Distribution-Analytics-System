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6.xml" ContentType="application/vnd.openxmlformats-officedocument.drawing+xml"/>
  <Override PartName="/xl/tables/table2.xml" ContentType="application/vnd.openxmlformats-officedocument.spreadsheetml.tab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7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8.xml" ContentType="application/vnd.openxmlformats-officedocument.drawing+xml"/>
  <Override PartName="/xl/tables/table3.xml" ContentType="application/vnd.openxmlformats-officedocument.spreadsheetml.table+xml"/>
  <Override PartName="/xl/charts/chart2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dda\OneDrive\Desktop\sideproj\"/>
    </mc:Choice>
  </mc:AlternateContent>
  <xr:revisionPtr revIDLastSave="0" documentId="13_ncr:20001_{B39EA362-FD59-4885-8921-CEC71F16C41D}" xr6:coauthVersionLast="47" xr6:coauthVersionMax="47" xr10:uidLastSave="{00000000-0000-0000-0000-000000000000}"/>
  <bookViews>
    <workbookView xWindow="-108" yWindow="-108" windowWidth="23256" windowHeight="12456" firstSheet="3" activeTab="4" xr2:uid="{00000000-000D-0000-FFFF-FFFF00000000}"/>
  </bookViews>
  <sheets>
    <sheet name="Cover Page" sheetId="1" r:id="rId1"/>
    <sheet name="KPI Dashboard" sheetId="9" r:id="rId2"/>
    <sheet name="Raw Data" sheetId="2" r:id="rId3"/>
    <sheet name="Inventory Analysis" sheetId="3" r:id="rId4"/>
    <sheet name="Demand Forecasting" sheetId="4" r:id="rId5"/>
    <sheet name="Supplier Scorecard" sheetId="5" r:id="rId6"/>
    <sheet name="Logistics &amp; Delivery" sheetId="6" r:id="rId7"/>
    <sheet name="Cost Analysis" sheetId="7" r:id="rId8"/>
    <sheet name="Workforce &amp; Ops" sheetId="8" r:id="rId9"/>
    <sheet name="What-If Simulator" sheetId="10" r:id="rId10"/>
  </sheets>
  <definedNames>
    <definedName name="_xlnm._FilterDatabase" localSheetId="2" hidden="1">'Raw Data'!$A$2:$AB$322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4" l="1"/>
  <c r="M21" i="6"/>
  <c r="E4" i="7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B15" i="10"/>
  <c r="B13" i="10"/>
  <c r="I7" i="9"/>
  <c r="L4" i="3"/>
  <c r="C28" i="7"/>
  <c r="D28" i="7"/>
  <c r="F28" i="7"/>
  <c r="B28" i="7"/>
  <c r="H4" i="3"/>
  <c r="I4" i="3" s="1"/>
  <c r="S3" i="2"/>
  <c r="T3" i="2" s="1"/>
  <c r="B14" i="10"/>
  <c r="B21" i="9"/>
  <c r="B20" i="9"/>
  <c r="B18" i="9"/>
  <c r="B17" i="9"/>
  <c r="B16" i="9"/>
  <c r="G7" i="9"/>
  <c r="G27" i="7"/>
  <c r="E27" i="7"/>
  <c r="G26" i="7"/>
  <c r="E26" i="7"/>
  <c r="G25" i="7"/>
  <c r="E25" i="7"/>
  <c r="G24" i="7"/>
  <c r="E24" i="7"/>
  <c r="G23" i="7"/>
  <c r="E23" i="7"/>
  <c r="G22" i="7"/>
  <c r="E22" i="7"/>
  <c r="G21" i="7"/>
  <c r="E21" i="7"/>
  <c r="G20" i="7"/>
  <c r="E20" i="7"/>
  <c r="G19" i="7"/>
  <c r="E19" i="7"/>
  <c r="G18" i="7"/>
  <c r="E18" i="7"/>
  <c r="G17" i="7"/>
  <c r="E17" i="7"/>
  <c r="G16" i="7"/>
  <c r="E16" i="7"/>
  <c r="G15" i="7"/>
  <c r="E15" i="7"/>
  <c r="G14" i="7"/>
  <c r="E14" i="7"/>
  <c r="G13" i="7"/>
  <c r="E13" i="7"/>
  <c r="G12" i="7"/>
  <c r="E12" i="7"/>
  <c r="G11" i="7"/>
  <c r="E11" i="7"/>
  <c r="G10" i="7"/>
  <c r="E10" i="7"/>
  <c r="G9" i="7"/>
  <c r="E9" i="7"/>
  <c r="G8" i="7"/>
  <c r="E8" i="7"/>
  <c r="G7" i="7"/>
  <c r="E7" i="7"/>
  <c r="G6" i="7"/>
  <c r="E6" i="7"/>
  <c r="G5" i="7"/>
  <c r="E5" i="7"/>
  <c r="G4" i="7"/>
  <c r="G28" i="7" s="1"/>
  <c r="E28" i="7"/>
  <c r="L17" i="6"/>
  <c r="F17" i="6"/>
  <c r="M17" i="6" s="1"/>
  <c r="L16" i="6"/>
  <c r="F16" i="6"/>
  <c r="M16" i="6" s="1"/>
  <c r="L15" i="6"/>
  <c r="F15" i="6"/>
  <c r="M15" i="6" s="1"/>
  <c r="L14" i="6"/>
  <c r="F14" i="6"/>
  <c r="M14" i="6" s="1"/>
  <c r="L13" i="6"/>
  <c r="F13" i="6"/>
  <c r="M13" i="6" s="1"/>
  <c r="L12" i="6"/>
  <c r="F12" i="6"/>
  <c r="M12" i="6" s="1"/>
  <c r="L11" i="6"/>
  <c r="F11" i="6"/>
  <c r="M11" i="6" s="1"/>
  <c r="L10" i="6"/>
  <c r="F10" i="6"/>
  <c r="M10" i="6" s="1"/>
  <c r="L9" i="6"/>
  <c r="F9" i="6"/>
  <c r="M9" i="6" s="1"/>
  <c r="L8" i="6"/>
  <c r="F8" i="6"/>
  <c r="M8" i="6" s="1"/>
  <c r="L7" i="6"/>
  <c r="F7" i="6"/>
  <c r="M7" i="6" s="1"/>
  <c r="L6" i="6"/>
  <c r="F6" i="6"/>
  <c r="M6" i="6" s="1"/>
  <c r="L5" i="6"/>
  <c r="F5" i="6"/>
  <c r="M5" i="6" s="1"/>
  <c r="L4" i="6"/>
  <c r="B19" i="9" s="1"/>
  <c r="F4" i="6"/>
  <c r="P11" i="5"/>
  <c r="O11" i="5"/>
  <c r="N11" i="5"/>
  <c r="P10" i="5"/>
  <c r="O10" i="5"/>
  <c r="N10" i="5"/>
  <c r="P9" i="5"/>
  <c r="O9" i="5"/>
  <c r="N9" i="5"/>
  <c r="P8" i="5"/>
  <c r="O8" i="5"/>
  <c r="N8" i="5"/>
  <c r="P7" i="5"/>
  <c r="O7" i="5"/>
  <c r="N7" i="5"/>
  <c r="P6" i="5"/>
  <c r="O6" i="5"/>
  <c r="N6" i="5"/>
  <c r="P5" i="5"/>
  <c r="O5" i="5"/>
  <c r="N5" i="5"/>
  <c r="P4" i="5"/>
  <c r="O4" i="5"/>
  <c r="N4" i="5"/>
  <c r="B32" i="4" a="1"/>
  <c r="B32" i="4" s="1"/>
  <c r="B31" i="4" a="1"/>
  <c r="B31" i="4" s="1"/>
  <c r="B30" i="4"/>
  <c r="E27" i="4"/>
  <c r="D27" i="4"/>
  <c r="E26" i="4"/>
  <c r="D26" i="4"/>
  <c r="G26" i="4" s="1"/>
  <c r="H26" i="4" s="1"/>
  <c r="I26" i="4" s="1"/>
  <c r="E25" i="4"/>
  <c r="D25" i="4"/>
  <c r="G25" i="4" s="1"/>
  <c r="H25" i="4" s="1"/>
  <c r="I25" i="4" s="1"/>
  <c r="E24" i="4"/>
  <c r="D24" i="4"/>
  <c r="G24" i="4" s="1"/>
  <c r="H24" i="4" s="1"/>
  <c r="I24" i="4" s="1"/>
  <c r="E23" i="4"/>
  <c r="D23" i="4"/>
  <c r="G23" i="4" s="1"/>
  <c r="H23" i="4" s="1"/>
  <c r="I23" i="4" s="1"/>
  <c r="E22" i="4"/>
  <c r="D22" i="4"/>
  <c r="G22" i="4" s="1"/>
  <c r="H22" i="4" s="1"/>
  <c r="I22" i="4" s="1"/>
  <c r="E21" i="4"/>
  <c r="D21" i="4"/>
  <c r="G21" i="4" s="1"/>
  <c r="H21" i="4" s="1"/>
  <c r="I21" i="4" s="1"/>
  <c r="E20" i="4"/>
  <c r="D20" i="4"/>
  <c r="G20" i="4" s="1"/>
  <c r="H20" i="4" s="1"/>
  <c r="I20" i="4" s="1"/>
  <c r="E19" i="4"/>
  <c r="D19" i="4"/>
  <c r="G19" i="4" s="1"/>
  <c r="H19" i="4" s="1"/>
  <c r="I19" i="4" s="1"/>
  <c r="E18" i="4"/>
  <c r="D18" i="4"/>
  <c r="G18" i="4" s="1"/>
  <c r="H18" i="4" s="1"/>
  <c r="I18" i="4" s="1"/>
  <c r="E17" i="4"/>
  <c r="D17" i="4"/>
  <c r="G17" i="4" s="1"/>
  <c r="H17" i="4" s="1"/>
  <c r="I17" i="4" s="1"/>
  <c r="E16" i="4"/>
  <c r="D16" i="4"/>
  <c r="G16" i="4" s="1"/>
  <c r="H16" i="4" s="1"/>
  <c r="I16" i="4" s="1"/>
  <c r="E15" i="4"/>
  <c r="D15" i="4"/>
  <c r="G15" i="4" s="1"/>
  <c r="H15" i="4" s="1"/>
  <c r="I15" i="4" s="1"/>
  <c r="E14" i="4"/>
  <c r="D14" i="4"/>
  <c r="G14" i="4" s="1"/>
  <c r="H14" i="4" s="1"/>
  <c r="I14" i="4" s="1"/>
  <c r="E13" i="4"/>
  <c r="D13" i="4"/>
  <c r="G13" i="4" s="1"/>
  <c r="H13" i="4" s="1"/>
  <c r="I13" i="4" s="1"/>
  <c r="E12" i="4"/>
  <c r="D12" i="4"/>
  <c r="G12" i="4" s="1"/>
  <c r="H12" i="4" s="1"/>
  <c r="I12" i="4" s="1"/>
  <c r="E11" i="4"/>
  <c r="D11" i="4"/>
  <c r="G11" i="4" s="1"/>
  <c r="H11" i="4" s="1"/>
  <c r="I11" i="4" s="1"/>
  <c r="E10" i="4"/>
  <c r="D10" i="4"/>
  <c r="G10" i="4" s="1"/>
  <c r="H10" i="4" s="1"/>
  <c r="I10" i="4" s="1"/>
  <c r="E9" i="4"/>
  <c r="D9" i="4"/>
  <c r="G9" i="4" s="1"/>
  <c r="H9" i="4" s="1"/>
  <c r="I9" i="4" s="1"/>
  <c r="E8" i="4"/>
  <c r="D8" i="4"/>
  <c r="G8" i="4" s="1"/>
  <c r="H8" i="4" s="1"/>
  <c r="I8" i="4" s="1"/>
  <c r="D7" i="4"/>
  <c r="G7" i="4" s="1"/>
  <c r="H7" i="4" s="1"/>
  <c r="I7" i="4" s="1"/>
  <c r="D6" i="4"/>
  <c r="G6" i="4" s="1"/>
  <c r="H6" i="4" s="1"/>
  <c r="I6" i="4" s="1"/>
  <c r="H5" i="4"/>
  <c r="I5" i="4" s="1"/>
  <c r="H4" i="4"/>
  <c r="F4" i="4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C104" i="3"/>
  <c r="C103" i="3"/>
  <c r="C102" i="3"/>
  <c r="L97" i="3"/>
  <c r="H97" i="3"/>
  <c r="I97" i="3" s="1"/>
  <c r="J97" i="3" s="1"/>
  <c r="L96" i="3"/>
  <c r="H96" i="3"/>
  <c r="I96" i="3" s="1"/>
  <c r="J96" i="3" s="1"/>
  <c r="L95" i="3"/>
  <c r="H95" i="3"/>
  <c r="I95" i="3" s="1"/>
  <c r="J95" i="3" s="1"/>
  <c r="L94" i="3"/>
  <c r="H94" i="3"/>
  <c r="I94" i="3" s="1"/>
  <c r="J94" i="3" s="1"/>
  <c r="L93" i="3"/>
  <c r="H93" i="3"/>
  <c r="I93" i="3" s="1"/>
  <c r="J93" i="3" s="1"/>
  <c r="L92" i="3"/>
  <c r="H92" i="3"/>
  <c r="I92" i="3" s="1"/>
  <c r="J92" i="3" s="1"/>
  <c r="L91" i="3"/>
  <c r="H91" i="3"/>
  <c r="I91" i="3" s="1"/>
  <c r="J91" i="3" s="1"/>
  <c r="L90" i="3"/>
  <c r="H90" i="3"/>
  <c r="I90" i="3" s="1"/>
  <c r="J90" i="3" s="1"/>
  <c r="L89" i="3"/>
  <c r="H89" i="3"/>
  <c r="I89" i="3" s="1"/>
  <c r="J89" i="3" s="1"/>
  <c r="L88" i="3"/>
  <c r="H88" i="3"/>
  <c r="I88" i="3" s="1"/>
  <c r="J88" i="3" s="1"/>
  <c r="L87" i="3"/>
  <c r="H87" i="3"/>
  <c r="I87" i="3" s="1"/>
  <c r="J87" i="3" s="1"/>
  <c r="L86" i="3"/>
  <c r="H86" i="3"/>
  <c r="I86" i="3" s="1"/>
  <c r="J86" i="3" s="1"/>
  <c r="L85" i="3"/>
  <c r="H85" i="3"/>
  <c r="I85" i="3" s="1"/>
  <c r="J85" i="3" s="1"/>
  <c r="L84" i="3"/>
  <c r="H84" i="3"/>
  <c r="I84" i="3" s="1"/>
  <c r="J84" i="3" s="1"/>
  <c r="L83" i="3"/>
  <c r="H83" i="3"/>
  <c r="I83" i="3" s="1"/>
  <c r="J83" i="3" s="1"/>
  <c r="L82" i="3"/>
  <c r="H82" i="3"/>
  <c r="I82" i="3" s="1"/>
  <c r="J82" i="3" s="1"/>
  <c r="L81" i="3"/>
  <c r="H81" i="3"/>
  <c r="I81" i="3" s="1"/>
  <c r="J81" i="3" s="1"/>
  <c r="L80" i="3"/>
  <c r="H80" i="3"/>
  <c r="I80" i="3" s="1"/>
  <c r="J80" i="3" s="1"/>
  <c r="L79" i="3"/>
  <c r="H79" i="3"/>
  <c r="I79" i="3" s="1"/>
  <c r="J79" i="3" s="1"/>
  <c r="L78" i="3"/>
  <c r="H78" i="3"/>
  <c r="I78" i="3" s="1"/>
  <c r="J78" i="3" s="1"/>
  <c r="L77" i="3"/>
  <c r="H77" i="3"/>
  <c r="I77" i="3" s="1"/>
  <c r="J77" i="3" s="1"/>
  <c r="L76" i="3"/>
  <c r="H76" i="3"/>
  <c r="I76" i="3" s="1"/>
  <c r="J76" i="3" s="1"/>
  <c r="L75" i="3"/>
  <c r="H75" i="3"/>
  <c r="I75" i="3" s="1"/>
  <c r="J75" i="3" s="1"/>
  <c r="L74" i="3"/>
  <c r="H74" i="3"/>
  <c r="I74" i="3" s="1"/>
  <c r="J74" i="3" s="1"/>
  <c r="L73" i="3"/>
  <c r="H73" i="3"/>
  <c r="I73" i="3" s="1"/>
  <c r="J73" i="3" s="1"/>
  <c r="L72" i="3"/>
  <c r="H72" i="3"/>
  <c r="I72" i="3" s="1"/>
  <c r="J72" i="3" s="1"/>
  <c r="L71" i="3"/>
  <c r="H71" i="3"/>
  <c r="I71" i="3" s="1"/>
  <c r="J71" i="3" s="1"/>
  <c r="L70" i="3"/>
  <c r="H70" i="3"/>
  <c r="I70" i="3" s="1"/>
  <c r="J70" i="3" s="1"/>
  <c r="L69" i="3"/>
  <c r="H69" i="3"/>
  <c r="I69" i="3" s="1"/>
  <c r="J69" i="3" s="1"/>
  <c r="L68" i="3"/>
  <c r="H68" i="3"/>
  <c r="I68" i="3" s="1"/>
  <c r="J68" i="3" s="1"/>
  <c r="L67" i="3"/>
  <c r="H67" i="3"/>
  <c r="I67" i="3" s="1"/>
  <c r="J67" i="3" s="1"/>
  <c r="L66" i="3"/>
  <c r="H66" i="3"/>
  <c r="I66" i="3" s="1"/>
  <c r="J66" i="3" s="1"/>
  <c r="L65" i="3"/>
  <c r="H65" i="3"/>
  <c r="I65" i="3" s="1"/>
  <c r="J65" i="3" s="1"/>
  <c r="L64" i="3"/>
  <c r="H64" i="3"/>
  <c r="I64" i="3" s="1"/>
  <c r="J64" i="3" s="1"/>
  <c r="L63" i="3"/>
  <c r="H63" i="3"/>
  <c r="I63" i="3" s="1"/>
  <c r="J63" i="3" s="1"/>
  <c r="L62" i="3"/>
  <c r="H62" i="3"/>
  <c r="I62" i="3" s="1"/>
  <c r="J62" i="3" s="1"/>
  <c r="L61" i="3"/>
  <c r="H61" i="3"/>
  <c r="I61" i="3" s="1"/>
  <c r="J61" i="3" s="1"/>
  <c r="L60" i="3"/>
  <c r="H60" i="3"/>
  <c r="I60" i="3" s="1"/>
  <c r="J60" i="3" s="1"/>
  <c r="L59" i="3"/>
  <c r="H59" i="3"/>
  <c r="I59" i="3" s="1"/>
  <c r="J59" i="3" s="1"/>
  <c r="L58" i="3"/>
  <c r="H58" i="3"/>
  <c r="I58" i="3" s="1"/>
  <c r="J58" i="3" s="1"/>
  <c r="L57" i="3"/>
  <c r="H57" i="3"/>
  <c r="I57" i="3" s="1"/>
  <c r="J57" i="3" s="1"/>
  <c r="L56" i="3"/>
  <c r="H56" i="3"/>
  <c r="I56" i="3" s="1"/>
  <c r="J56" i="3" s="1"/>
  <c r="L55" i="3"/>
  <c r="H55" i="3"/>
  <c r="I55" i="3" s="1"/>
  <c r="J55" i="3" s="1"/>
  <c r="L54" i="3"/>
  <c r="H54" i="3"/>
  <c r="I54" i="3" s="1"/>
  <c r="J54" i="3" s="1"/>
  <c r="L53" i="3"/>
  <c r="H53" i="3"/>
  <c r="I53" i="3" s="1"/>
  <c r="J53" i="3" s="1"/>
  <c r="L52" i="3"/>
  <c r="H52" i="3"/>
  <c r="I52" i="3" s="1"/>
  <c r="J52" i="3" s="1"/>
  <c r="L51" i="3"/>
  <c r="H51" i="3"/>
  <c r="I51" i="3" s="1"/>
  <c r="J51" i="3" s="1"/>
  <c r="L50" i="3"/>
  <c r="H50" i="3"/>
  <c r="I50" i="3" s="1"/>
  <c r="J50" i="3" s="1"/>
  <c r="L49" i="3"/>
  <c r="H49" i="3"/>
  <c r="I49" i="3" s="1"/>
  <c r="J49" i="3" s="1"/>
  <c r="L48" i="3"/>
  <c r="H48" i="3"/>
  <c r="I48" i="3" s="1"/>
  <c r="J48" i="3" s="1"/>
  <c r="L47" i="3"/>
  <c r="H47" i="3"/>
  <c r="I47" i="3" s="1"/>
  <c r="J47" i="3" s="1"/>
  <c r="L46" i="3"/>
  <c r="H46" i="3"/>
  <c r="I46" i="3" s="1"/>
  <c r="J46" i="3" s="1"/>
  <c r="L45" i="3"/>
  <c r="H45" i="3"/>
  <c r="I45" i="3" s="1"/>
  <c r="J45" i="3" s="1"/>
  <c r="L44" i="3"/>
  <c r="H44" i="3"/>
  <c r="I44" i="3" s="1"/>
  <c r="J44" i="3" s="1"/>
  <c r="L43" i="3"/>
  <c r="H43" i="3"/>
  <c r="I43" i="3" s="1"/>
  <c r="J43" i="3" s="1"/>
  <c r="L42" i="3"/>
  <c r="H42" i="3"/>
  <c r="I42" i="3" s="1"/>
  <c r="J42" i="3" s="1"/>
  <c r="L41" i="3"/>
  <c r="H41" i="3"/>
  <c r="I41" i="3" s="1"/>
  <c r="J41" i="3" s="1"/>
  <c r="L40" i="3"/>
  <c r="H40" i="3"/>
  <c r="I40" i="3" s="1"/>
  <c r="J40" i="3" s="1"/>
  <c r="L39" i="3"/>
  <c r="H39" i="3"/>
  <c r="I39" i="3" s="1"/>
  <c r="J39" i="3" s="1"/>
  <c r="L38" i="3"/>
  <c r="H38" i="3"/>
  <c r="I38" i="3" s="1"/>
  <c r="J38" i="3" s="1"/>
  <c r="L37" i="3"/>
  <c r="H37" i="3"/>
  <c r="I37" i="3" s="1"/>
  <c r="J37" i="3" s="1"/>
  <c r="L36" i="3"/>
  <c r="H36" i="3"/>
  <c r="I36" i="3" s="1"/>
  <c r="J36" i="3" s="1"/>
  <c r="L35" i="3"/>
  <c r="H35" i="3"/>
  <c r="I35" i="3" s="1"/>
  <c r="J35" i="3" s="1"/>
  <c r="L34" i="3"/>
  <c r="H34" i="3"/>
  <c r="I34" i="3" s="1"/>
  <c r="J34" i="3" s="1"/>
  <c r="L33" i="3"/>
  <c r="H33" i="3"/>
  <c r="I33" i="3" s="1"/>
  <c r="J33" i="3" s="1"/>
  <c r="L32" i="3"/>
  <c r="H32" i="3"/>
  <c r="I32" i="3" s="1"/>
  <c r="J32" i="3" s="1"/>
  <c r="L31" i="3"/>
  <c r="H31" i="3"/>
  <c r="I31" i="3" s="1"/>
  <c r="J31" i="3" s="1"/>
  <c r="L30" i="3"/>
  <c r="H30" i="3"/>
  <c r="I30" i="3" s="1"/>
  <c r="J30" i="3" s="1"/>
  <c r="L29" i="3"/>
  <c r="H29" i="3"/>
  <c r="I29" i="3" s="1"/>
  <c r="J29" i="3" s="1"/>
  <c r="L28" i="3"/>
  <c r="H28" i="3"/>
  <c r="I28" i="3" s="1"/>
  <c r="J28" i="3" s="1"/>
  <c r="L27" i="3"/>
  <c r="H27" i="3"/>
  <c r="I27" i="3" s="1"/>
  <c r="J27" i="3" s="1"/>
  <c r="L26" i="3"/>
  <c r="H26" i="3"/>
  <c r="I26" i="3" s="1"/>
  <c r="J26" i="3" s="1"/>
  <c r="L25" i="3"/>
  <c r="H25" i="3"/>
  <c r="I25" i="3" s="1"/>
  <c r="J25" i="3" s="1"/>
  <c r="L24" i="3"/>
  <c r="H24" i="3"/>
  <c r="I24" i="3" s="1"/>
  <c r="J24" i="3" s="1"/>
  <c r="L23" i="3"/>
  <c r="H23" i="3"/>
  <c r="I23" i="3" s="1"/>
  <c r="J23" i="3" s="1"/>
  <c r="L22" i="3"/>
  <c r="H22" i="3"/>
  <c r="I22" i="3" s="1"/>
  <c r="J22" i="3" s="1"/>
  <c r="L21" i="3"/>
  <c r="H21" i="3"/>
  <c r="I21" i="3" s="1"/>
  <c r="J21" i="3" s="1"/>
  <c r="L20" i="3"/>
  <c r="H20" i="3"/>
  <c r="I20" i="3" s="1"/>
  <c r="J20" i="3" s="1"/>
  <c r="L19" i="3"/>
  <c r="H19" i="3"/>
  <c r="I19" i="3" s="1"/>
  <c r="J19" i="3" s="1"/>
  <c r="L18" i="3"/>
  <c r="H18" i="3"/>
  <c r="I18" i="3" s="1"/>
  <c r="J18" i="3" s="1"/>
  <c r="L17" i="3"/>
  <c r="H17" i="3"/>
  <c r="I17" i="3" s="1"/>
  <c r="J17" i="3" s="1"/>
  <c r="L16" i="3"/>
  <c r="H16" i="3"/>
  <c r="I16" i="3" s="1"/>
  <c r="J16" i="3" s="1"/>
  <c r="L15" i="3"/>
  <c r="H15" i="3"/>
  <c r="I15" i="3" s="1"/>
  <c r="J15" i="3" s="1"/>
  <c r="L14" i="3"/>
  <c r="H14" i="3"/>
  <c r="I14" i="3" s="1"/>
  <c r="J14" i="3" s="1"/>
  <c r="L13" i="3"/>
  <c r="H13" i="3"/>
  <c r="I13" i="3" s="1"/>
  <c r="J13" i="3" s="1"/>
  <c r="L12" i="3"/>
  <c r="H12" i="3"/>
  <c r="I12" i="3" s="1"/>
  <c r="J12" i="3" s="1"/>
  <c r="L11" i="3"/>
  <c r="H11" i="3"/>
  <c r="I11" i="3" s="1"/>
  <c r="J11" i="3" s="1"/>
  <c r="L10" i="3"/>
  <c r="H10" i="3"/>
  <c r="I10" i="3" s="1"/>
  <c r="J10" i="3" s="1"/>
  <c r="L9" i="3"/>
  <c r="H9" i="3"/>
  <c r="I9" i="3" s="1"/>
  <c r="J9" i="3" s="1"/>
  <c r="L8" i="3"/>
  <c r="H8" i="3"/>
  <c r="I8" i="3" s="1"/>
  <c r="J8" i="3" s="1"/>
  <c r="L7" i="3"/>
  <c r="H7" i="3"/>
  <c r="I7" i="3" s="1"/>
  <c r="J7" i="3" s="1"/>
  <c r="L6" i="3"/>
  <c r="H6" i="3"/>
  <c r="I6" i="3" s="1"/>
  <c r="J6" i="3" s="1"/>
  <c r="L5" i="3"/>
  <c r="H5" i="3"/>
  <c r="I5" i="3" s="1"/>
  <c r="J5" i="3" s="1"/>
  <c r="S322" i="2"/>
  <c r="T322" i="2" s="1"/>
  <c r="P322" i="2"/>
  <c r="S321" i="2"/>
  <c r="T321" i="2" s="1"/>
  <c r="P321" i="2"/>
  <c r="S320" i="2"/>
  <c r="T320" i="2" s="1"/>
  <c r="P320" i="2"/>
  <c r="S319" i="2"/>
  <c r="T319" i="2" s="1"/>
  <c r="P319" i="2"/>
  <c r="S318" i="2"/>
  <c r="T318" i="2" s="1"/>
  <c r="P318" i="2"/>
  <c r="S317" i="2"/>
  <c r="T317" i="2" s="1"/>
  <c r="P317" i="2"/>
  <c r="S316" i="2"/>
  <c r="T316" i="2" s="1"/>
  <c r="P316" i="2"/>
  <c r="S315" i="2"/>
  <c r="T315" i="2" s="1"/>
  <c r="P315" i="2"/>
  <c r="S314" i="2"/>
  <c r="T314" i="2" s="1"/>
  <c r="P314" i="2"/>
  <c r="S313" i="2"/>
  <c r="T313" i="2" s="1"/>
  <c r="P313" i="2"/>
  <c r="S312" i="2"/>
  <c r="T312" i="2" s="1"/>
  <c r="P312" i="2"/>
  <c r="S311" i="2"/>
  <c r="T311" i="2" s="1"/>
  <c r="P311" i="2"/>
  <c r="S310" i="2"/>
  <c r="T310" i="2" s="1"/>
  <c r="P310" i="2"/>
  <c r="S309" i="2"/>
  <c r="T309" i="2" s="1"/>
  <c r="P309" i="2"/>
  <c r="S308" i="2"/>
  <c r="T308" i="2" s="1"/>
  <c r="P308" i="2"/>
  <c r="S307" i="2"/>
  <c r="T307" i="2" s="1"/>
  <c r="P307" i="2"/>
  <c r="S306" i="2"/>
  <c r="T306" i="2" s="1"/>
  <c r="P306" i="2"/>
  <c r="S305" i="2"/>
  <c r="T305" i="2" s="1"/>
  <c r="P305" i="2"/>
  <c r="S304" i="2"/>
  <c r="T304" i="2" s="1"/>
  <c r="P304" i="2"/>
  <c r="S303" i="2"/>
  <c r="T303" i="2" s="1"/>
  <c r="P303" i="2"/>
  <c r="S302" i="2"/>
  <c r="T302" i="2" s="1"/>
  <c r="P302" i="2"/>
  <c r="S301" i="2"/>
  <c r="T301" i="2" s="1"/>
  <c r="P301" i="2"/>
  <c r="S300" i="2"/>
  <c r="T300" i="2" s="1"/>
  <c r="P300" i="2"/>
  <c r="S299" i="2"/>
  <c r="T299" i="2" s="1"/>
  <c r="P299" i="2"/>
  <c r="S298" i="2"/>
  <c r="T298" i="2" s="1"/>
  <c r="P298" i="2"/>
  <c r="S297" i="2"/>
  <c r="T297" i="2" s="1"/>
  <c r="P297" i="2"/>
  <c r="S296" i="2"/>
  <c r="T296" i="2" s="1"/>
  <c r="P296" i="2"/>
  <c r="S295" i="2"/>
  <c r="T295" i="2" s="1"/>
  <c r="P295" i="2"/>
  <c r="S294" i="2"/>
  <c r="T294" i="2" s="1"/>
  <c r="P294" i="2"/>
  <c r="S293" i="2"/>
  <c r="T293" i="2" s="1"/>
  <c r="P293" i="2"/>
  <c r="S292" i="2"/>
  <c r="T292" i="2" s="1"/>
  <c r="P292" i="2"/>
  <c r="S291" i="2"/>
  <c r="T291" i="2" s="1"/>
  <c r="P291" i="2"/>
  <c r="S290" i="2"/>
  <c r="T290" i="2" s="1"/>
  <c r="P290" i="2"/>
  <c r="S289" i="2"/>
  <c r="T289" i="2" s="1"/>
  <c r="P289" i="2"/>
  <c r="S288" i="2"/>
  <c r="T288" i="2" s="1"/>
  <c r="P288" i="2"/>
  <c r="S287" i="2"/>
  <c r="T287" i="2" s="1"/>
  <c r="P287" i="2"/>
  <c r="S286" i="2"/>
  <c r="T286" i="2" s="1"/>
  <c r="P286" i="2"/>
  <c r="S285" i="2"/>
  <c r="T285" i="2" s="1"/>
  <c r="P285" i="2"/>
  <c r="S284" i="2"/>
  <c r="T284" i="2" s="1"/>
  <c r="P284" i="2"/>
  <c r="S283" i="2"/>
  <c r="T283" i="2" s="1"/>
  <c r="P283" i="2"/>
  <c r="S282" i="2"/>
  <c r="T282" i="2" s="1"/>
  <c r="P282" i="2"/>
  <c r="S281" i="2"/>
  <c r="T281" i="2" s="1"/>
  <c r="P281" i="2"/>
  <c r="S280" i="2"/>
  <c r="T280" i="2" s="1"/>
  <c r="P280" i="2"/>
  <c r="S279" i="2"/>
  <c r="T279" i="2" s="1"/>
  <c r="P279" i="2"/>
  <c r="S278" i="2"/>
  <c r="T278" i="2" s="1"/>
  <c r="P278" i="2"/>
  <c r="S277" i="2"/>
  <c r="T277" i="2" s="1"/>
  <c r="P277" i="2"/>
  <c r="S276" i="2"/>
  <c r="T276" i="2" s="1"/>
  <c r="P276" i="2"/>
  <c r="S275" i="2"/>
  <c r="T275" i="2" s="1"/>
  <c r="P275" i="2"/>
  <c r="S274" i="2"/>
  <c r="T274" i="2" s="1"/>
  <c r="P274" i="2"/>
  <c r="S273" i="2"/>
  <c r="T273" i="2" s="1"/>
  <c r="P273" i="2"/>
  <c r="S272" i="2"/>
  <c r="T272" i="2" s="1"/>
  <c r="P272" i="2"/>
  <c r="S271" i="2"/>
  <c r="T271" i="2" s="1"/>
  <c r="P271" i="2"/>
  <c r="S270" i="2"/>
  <c r="T270" i="2" s="1"/>
  <c r="P270" i="2"/>
  <c r="S269" i="2"/>
  <c r="T269" i="2" s="1"/>
  <c r="P269" i="2"/>
  <c r="S268" i="2"/>
  <c r="T268" i="2" s="1"/>
  <c r="P268" i="2"/>
  <c r="S267" i="2"/>
  <c r="T267" i="2" s="1"/>
  <c r="P267" i="2"/>
  <c r="S266" i="2"/>
  <c r="T266" i="2" s="1"/>
  <c r="P266" i="2"/>
  <c r="S265" i="2"/>
  <c r="T265" i="2" s="1"/>
  <c r="P265" i="2"/>
  <c r="S264" i="2"/>
  <c r="T264" i="2" s="1"/>
  <c r="P264" i="2"/>
  <c r="S263" i="2"/>
  <c r="T263" i="2" s="1"/>
  <c r="P263" i="2"/>
  <c r="S262" i="2"/>
  <c r="T262" i="2" s="1"/>
  <c r="P262" i="2"/>
  <c r="S261" i="2"/>
  <c r="T261" i="2" s="1"/>
  <c r="P261" i="2"/>
  <c r="S260" i="2"/>
  <c r="T260" i="2" s="1"/>
  <c r="P260" i="2"/>
  <c r="S259" i="2"/>
  <c r="T259" i="2" s="1"/>
  <c r="P259" i="2"/>
  <c r="S258" i="2"/>
  <c r="T258" i="2" s="1"/>
  <c r="P258" i="2"/>
  <c r="S257" i="2"/>
  <c r="T257" i="2" s="1"/>
  <c r="P257" i="2"/>
  <c r="S256" i="2"/>
  <c r="T256" i="2" s="1"/>
  <c r="P256" i="2"/>
  <c r="S255" i="2"/>
  <c r="T255" i="2" s="1"/>
  <c r="P255" i="2"/>
  <c r="S254" i="2"/>
  <c r="T254" i="2" s="1"/>
  <c r="P254" i="2"/>
  <c r="S253" i="2"/>
  <c r="T253" i="2" s="1"/>
  <c r="P253" i="2"/>
  <c r="S252" i="2"/>
  <c r="T252" i="2" s="1"/>
  <c r="P252" i="2"/>
  <c r="S251" i="2"/>
  <c r="T251" i="2" s="1"/>
  <c r="P251" i="2"/>
  <c r="S250" i="2"/>
  <c r="T250" i="2" s="1"/>
  <c r="P250" i="2"/>
  <c r="S249" i="2"/>
  <c r="T249" i="2" s="1"/>
  <c r="P249" i="2"/>
  <c r="S248" i="2"/>
  <c r="T248" i="2" s="1"/>
  <c r="P248" i="2"/>
  <c r="S247" i="2"/>
  <c r="T247" i="2" s="1"/>
  <c r="P247" i="2"/>
  <c r="S246" i="2"/>
  <c r="T246" i="2" s="1"/>
  <c r="P246" i="2"/>
  <c r="S245" i="2"/>
  <c r="T245" i="2" s="1"/>
  <c r="P245" i="2"/>
  <c r="S244" i="2"/>
  <c r="T244" i="2" s="1"/>
  <c r="P244" i="2"/>
  <c r="S243" i="2"/>
  <c r="T243" i="2" s="1"/>
  <c r="P243" i="2"/>
  <c r="S242" i="2"/>
  <c r="T242" i="2" s="1"/>
  <c r="P242" i="2"/>
  <c r="S241" i="2"/>
  <c r="T241" i="2" s="1"/>
  <c r="P241" i="2"/>
  <c r="S240" i="2"/>
  <c r="T240" i="2" s="1"/>
  <c r="P240" i="2"/>
  <c r="S239" i="2"/>
  <c r="T239" i="2" s="1"/>
  <c r="P239" i="2"/>
  <c r="S238" i="2"/>
  <c r="T238" i="2" s="1"/>
  <c r="P238" i="2"/>
  <c r="S237" i="2"/>
  <c r="T237" i="2" s="1"/>
  <c r="P237" i="2"/>
  <c r="S236" i="2"/>
  <c r="T236" i="2" s="1"/>
  <c r="P236" i="2"/>
  <c r="S235" i="2"/>
  <c r="T235" i="2" s="1"/>
  <c r="P235" i="2"/>
  <c r="S234" i="2"/>
  <c r="T234" i="2" s="1"/>
  <c r="P234" i="2"/>
  <c r="S233" i="2"/>
  <c r="T233" i="2" s="1"/>
  <c r="P233" i="2"/>
  <c r="S232" i="2"/>
  <c r="T232" i="2" s="1"/>
  <c r="P232" i="2"/>
  <c r="S231" i="2"/>
  <c r="T231" i="2" s="1"/>
  <c r="P231" i="2"/>
  <c r="S230" i="2"/>
  <c r="T230" i="2" s="1"/>
  <c r="P230" i="2"/>
  <c r="S229" i="2"/>
  <c r="T229" i="2" s="1"/>
  <c r="P229" i="2"/>
  <c r="S228" i="2"/>
  <c r="T228" i="2" s="1"/>
  <c r="P228" i="2"/>
  <c r="S227" i="2"/>
  <c r="T227" i="2" s="1"/>
  <c r="P227" i="2"/>
  <c r="S226" i="2"/>
  <c r="T226" i="2" s="1"/>
  <c r="P226" i="2"/>
  <c r="S225" i="2"/>
  <c r="T225" i="2" s="1"/>
  <c r="P225" i="2"/>
  <c r="S224" i="2"/>
  <c r="T224" i="2" s="1"/>
  <c r="P224" i="2"/>
  <c r="S223" i="2"/>
  <c r="T223" i="2" s="1"/>
  <c r="P223" i="2"/>
  <c r="S222" i="2"/>
  <c r="T222" i="2" s="1"/>
  <c r="P222" i="2"/>
  <c r="S221" i="2"/>
  <c r="T221" i="2" s="1"/>
  <c r="P221" i="2"/>
  <c r="S220" i="2"/>
  <c r="T220" i="2" s="1"/>
  <c r="P220" i="2"/>
  <c r="S219" i="2"/>
  <c r="T219" i="2" s="1"/>
  <c r="P219" i="2"/>
  <c r="S218" i="2"/>
  <c r="T218" i="2" s="1"/>
  <c r="P218" i="2"/>
  <c r="S217" i="2"/>
  <c r="T217" i="2" s="1"/>
  <c r="P217" i="2"/>
  <c r="S216" i="2"/>
  <c r="T216" i="2" s="1"/>
  <c r="P216" i="2"/>
  <c r="S215" i="2"/>
  <c r="T215" i="2" s="1"/>
  <c r="P215" i="2"/>
  <c r="S214" i="2"/>
  <c r="T214" i="2" s="1"/>
  <c r="P214" i="2"/>
  <c r="S213" i="2"/>
  <c r="T213" i="2" s="1"/>
  <c r="P213" i="2"/>
  <c r="S212" i="2"/>
  <c r="T212" i="2" s="1"/>
  <c r="P212" i="2"/>
  <c r="S211" i="2"/>
  <c r="T211" i="2" s="1"/>
  <c r="P211" i="2"/>
  <c r="S210" i="2"/>
  <c r="T210" i="2" s="1"/>
  <c r="P210" i="2"/>
  <c r="S209" i="2"/>
  <c r="T209" i="2" s="1"/>
  <c r="P209" i="2"/>
  <c r="S208" i="2"/>
  <c r="T208" i="2" s="1"/>
  <c r="P208" i="2"/>
  <c r="S207" i="2"/>
  <c r="T207" i="2" s="1"/>
  <c r="P207" i="2"/>
  <c r="S206" i="2"/>
  <c r="T206" i="2" s="1"/>
  <c r="P206" i="2"/>
  <c r="S205" i="2"/>
  <c r="T205" i="2" s="1"/>
  <c r="P205" i="2"/>
  <c r="S204" i="2"/>
  <c r="T204" i="2" s="1"/>
  <c r="P204" i="2"/>
  <c r="S203" i="2"/>
  <c r="T203" i="2" s="1"/>
  <c r="P203" i="2"/>
  <c r="S202" i="2"/>
  <c r="T202" i="2" s="1"/>
  <c r="P202" i="2"/>
  <c r="S201" i="2"/>
  <c r="T201" i="2" s="1"/>
  <c r="P201" i="2"/>
  <c r="S200" i="2"/>
  <c r="T200" i="2" s="1"/>
  <c r="P200" i="2"/>
  <c r="S199" i="2"/>
  <c r="T199" i="2" s="1"/>
  <c r="P199" i="2"/>
  <c r="S198" i="2"/>
  <c r="T198" i="2" s="1"/>
  <c r="P198" i="2"/>
  <c r="S197" i="2"/>
  <c r="T197" i="2" s="1"/>
  <c r="P197" i="2"/>
  <c r="S196" i="2"/>
  <c r="T196" i="2" s="1"/>
  <c r="P196" i="2"/>
  <c r="S195" i="2"/>
  <c r="T195" i="2" s="1"/>
  <c r="P195" i="2"/>
  <c r="S194" i="2"/>
  <c r="T194" i="2" s="1"/>
  <c r="P194" i="2"/>
  <c r="S193" i="2"/>
  <c r="T193" i="2" s="1"/>
  <c r="P193" i="2"/>
  <c r="S192" i="2"/>
  <c r="T192" i="2" s="1"/>
  <c r="P192" i="2"/>
  <c r="S191" i="2"/>
  <c r="T191" i="2" s="1"/>
  <c r="P191" i="2"/>
  <c r="S190" i="2"/>
  <c r="T190" i="2" s="1"/>
  <c r="P190" i="2"/>
  <c r="S189" i="2"/>
  <c r="T189" i="2" s="1"/>
  <c r="P189" i="2"/>
  <c r="S188" i="2"/>
  <c r="T188" i="2" s="1"/>
  <c r="P188" i="2"/>
  <c r="S187" i="2"/>
  <c r="T187" i="2" s="1"/>
  <c r="P187" i="2"/>
  <c r="S186" i="2"/>
  <c r="T186" i="2" s="1"/>
  <c r="P186" i="2"/>
  <c r="S185" i="2"/>
  <c r="T185" i="2" s="1"/>
  <c r="P185" i="2"/>
  <c r="S184" i="2"/>
  <c r="T184" i="2" s="1"/>
  <c r="P184" i="2"/>
  <c r="S183" i="2"/>
  <c r="T183" i="2" s="1"/>
  <c r="P183" i="2"/>
  <c r="S182" i="2"/>
  <c r="T182" i="2" s="1"/>
  <c r="P182" i="2"/>
  <c r="S181" i="2"/>
  <c r="T181" i="2" s="1"/>
  <c r="P181" i="2"/>
  <c r="S180" i="2"/>
  <c r="T180" i="2" s="1"/>
  <c r="P180" i="2"/>
  <c r="S179" i="2"/>
  <c r="T179" i="2" s="1"/>
  <c r="P179" i="2"/>
  <c r="S178" i="2"/>
  <c r="T178" i="2" s="1"/>
  <c r="P178" i="2"/>
  <c r="S177" i="2"/>
  <c r="T177" i="2" s="1"/>
  <c r="P177" i="2"/>
  <c r="S176" i="2"/>
  <c r="T176" i="2" s="1"/>
  <c r="P176" i="2"/>
  <c r="S175" i="2"/>
  <c r="T175" i="2" s="1"/>
  <c r="P175" i="2"/>
  <c r="S174" i="2"/>
  <c r="T174" i="2" s="1"/>
  <c r="P174" i="2"/>
  <c r="S173" i="2"/>
  <c r="T173" i="2" s="1"/>
  <c r="P173" i="2"/>
  <c r="S172" i="2"/>
  <c r="T172" i="2" s="1"/>
  <c r="P172" i="2"/>
  <c r="S171" i="2"/>
  <c r="T171" i="2" s="1"/>
  <c r="P171" i="2"/>
  <c r="S170" i="2"/>
  <c r="T170" i="2" s="1"/>
  <c r="P170" i="2"/>
  <c r="S169" i="2"/>
  <c r="T169" i="2" s="1"/>
  <c r="P169" i="2"/>
  <c r="S168" i="2"/>
  <c r="T168" i="2" s="1"/>
  <c r="P168" i="2"/>
  <c r="S167" i="2"/>
  <c r="T167" i="2" s="1"/>
  <c r="P167" i="2"/>
  <c r="S166" i="2"/>
  <c r="T166" i="2" s="1"/>
  <c r="P166" i="2"/>
  <c r="S165" i="2"/>
  <c r="T165" i="2" s="1"/>
  <c r="P165" i="2"/>
  <c r="S164" i="2"/>
  <c r="T164" i="2" s="1"/>
  <c r="P164" i="2"/>
  <c r="S163" i="2"/>
  <c r="T163" i="2" s="1"/>
  <c r="P163" i="2"/>
  <c r="S162" i="2"/>
  <c r="T162" i="2" s="1"/>
  <c r="P162" i="2"/>
  <c r="S161" i="2"/>
  <c r="T161" i="2" s="1"/>
  <c r="P161" i="2"/>
  <c r="S160" i="2"/>
  <c r="T160" i="2" s="1"/>
  <c r="P160" i="2"/>
  <c r="S159" i="2"/>
  <c r="T159" i="2" s="1"/>
  <c r="P159" i="2"/>
  <c r="S158" i="2"/>
  <c r="T158" i="2" s="1"/>
  <c r="P158" i="2"/>
  <c r="S157" i="2"/>
  <c r="T157" i="2" s="1"/>
  <c r="P157" i="2"/>
  <c r="S156" i="2"/>
  <c r="T156" i="2" s="1"/>
  <c r="P156" i="2"/>
  <c r="S155" i="2"/>
  <c r="T155" i="2" s="1"/>
  <c r="P155" i="2"/>
  <c r="S154" i="2"/>
  <c r="T154" i="2" s="1"/>
  <c r="P154" i="2"/>
  <c r="S153" i="2"/>
  <c r="T153" i="2" s="1"/>
  <c r="P153" i="2"/>
  <c r="S152" i="2"/>
  <c r="T152" i="2" s="1"/>
  <c r="P152" i="2"/>
  <c r="S151" i="2"/>
  <c r="T151" i="2" s="1"/>
  <c r="P151" i="2"/>
  <c r="S150" i="2"/>
  <c r="T150" i="2" s="1"/>
  <c r="P150" i="2"/>
  <c r="S149" i="2"/>
  <c r="T149" i="2" s="1"/>
  <c r="P149" i="2"/>
  <c r="S148" i="2"/>
  <c r="T148" i="2" s="1"/>
  <c r="P148" i="2"/>
  <c r="S147" i="2"/>
  <c r="T147" i="2" s="1"/>
  <c r="P147" i="2"/>
  <c r="S146" i="2"/>
  <c r="T146" i="2" s="1"/>
  <c r="P146" i="2"/>
  <c r="S145" i="2"/>
  <c r="T145" i="2" s="1"/>
  <c r="P145" i="2"/>
  <c r="S144" i="2"/>
  <c r="T144" i="2" s="1"/>
  <c r="P144" i="2"/>
  <c r="S143" i="2"/>
  <c r="T143" i="2" s="1"/>
  <c r="P143" i="2"/>
  <c r="S142" i="2"/>
  <c r="T142" i="2" s="1"/>
  <c r="P142" i="2"/>
  <c r="S141" i="2"/>
  <c r="T141" i="2" s="1"/>
  <c r="P141" i="2"/>
  <c r="S140" i="2"/>
  <c r="T140" i="2" s="1"/>
  <c r="P140" i="2"/>
  <c r="S139" i="2"/>
  <c r="T139" i="2" s="1"/>
  <c r="P139" i="2"/>
  <c r="S138" i="2"/>
  <c r="T138" i="2" s="1"/>
  <c r="P138" i="2"/>
  <c r="S137" i="2"/>
  <c r="T137" i="2" s="1"/>
  <c r="P137" i="2"/>
  <c r="S136" i="2"/>
  <c r="T136" i="2" s="1"/>
  <c r="P136" i="2"/>
  <c r="S135" i="2"/>
  <c r="T135" i="2" s="1"/>
  <c r="P135" i="2"/>
  <c r="S134" i="2"/>
  <c r="T134" i="2" s="1"/>
  <c r="P134" i="2"/>
  <c r="S133" i="2"/>
  <c r="T133" i="2" s="1"/>
  <c r="P133" i="2"/>
  <c r="S132" i="2"/>
  <c r="T132" i="2" s="1"/>
  <c r="P132" i="2"/>
  <c r="S131" i="2"/>
  <c r="T131" i="2" s="1"/>
  <c r="P131" i="2"/>
  <c r="S130" i="2"/>
  <c r="T130" i="2" s="1"/>
  <c r="P130" i="2"/>
  <c r="S129" i="2"/>
  <c r="T129" i="2" s="1"/>
  <c r="P129" i="2"/>
  <c r="S128" i="2"/>
  <c r="T128" i="2" s="1"/>
  <c r="P128" i="2"/>
  <c r="S127" i="2"/>
  <c r="T127" i="2" s="1"/>
  <c r="P127" i="2"/>
  <c r="S126" i="2"/>
  <c r="T126" i="2" s="1"/>
  <c r="P126" i="2"/>
  <c r="S125" i="2"/>
  <c r="T125" i="2" s="1"/>
  <c r="P125" i="2"/>
  <c r="S124" i="2"/>
  <c r="T124" i="2" s="1"/>
  <c r="P124" i="2"/>
  <c r="S123" i="2"/>
  <c r="T123" i="2" s="1"/>
  <c r="P123" i="2"/>
  <c r="S122" i="2"/>
  <c r="T122" i="2" s="1"/>
  <c r="P122" i="2"/>
  <c r="S121" i="2"/>
  <c r="T121" i="2" s="1"/>
  <c r="P121" i="2"/>
  <c r="S120" i="2"/>
  <c r="T120" i="2" s="1"/>
  <c r="P120" i="2"/>
  <c r="S119" i="2"/>
  <c r="T119" i="2" s="1"/>
  <c r="P119" i="2"/>
  <c r="S118" i="2"/>
  <c r="T118" i="2" s="1"/>
  <c r="P118" i="2"/>
  <c r="S117" i="2"/>
  <c r="T117" i="2" s="1"/>
  <c r="P117" i="2"/>
  <c r="S116" i="2"/>
  <c r="T116" i="2" s="1"/>
  <c r="P116" i="2"/>
  <c r="S115" i="2"/>
  <c r="T115" i="2" s="1"/>
  <c r="P115" i="2"/>
  <c r="S114" i="2"/>
  <c r="T114" i="2" s="1"/>
  <c r="P114" i="2"/>
  <c r="S113" i="2"/>
  <c r="T113" i="2" s="1"/>
  <c r="P113" i="2"/>
  <c r="S112" i="2"/>
  <c r="T112" i="2" s="1"/>
  <c r="P112" i="2"/>
  <c r="S111" i="2"/>
  <c r="T111" i="2" s="1"/>
  <c r="P111" i="2"/>
  <c r="S110" i="2"/>
  <c r="T110" i="2" s="1"/>
  <c r="P110" i="2"/>
  <c r="S109" i="2"/>
  <c r="T109" i="2" s="1"/>
  <c r="P109" i="2"/>
  <c r="S108" i="2"/>
  <c r="T108" i="2" s="1"/>
  <c r="P108" i="2"/>
  <c r="S107" i="2"/>
  <c r="T107" i="2" s="1"/>
  <c r="P107" i="2"/>
  <c r="S106" i="2"/>
  <c r="T106" i="2" s="1"/>
  <c r="P106" i="2"/>
  <c r="S105" i="2"/>
  <c r="T105" i="2" s="1"/>
  <c r="P105" i="2"/>
  <c r="S104" i="2"/>
  <c r="T104" i="2" s="1"/>
  <c r="P104" i="2"/>
  <c r="S103" i="2"/>
  <c r="T103" i="2" s="1"/>
  <c r="P103" i="2"/>
  <c r="S102" i="2"/>
  <c r="T102" i="2" s="1"/>
  <c r="P102" i="2"/>
  <c r="S101" i="2"/>
  <c r="T101" i="2" s="1"/>
  <c r="P101" i="2"/>
  <c r="S100" i="2"/>
  <c r="T100" i="2" s="1"/>
  <c r="P100" i="2"/>
  <c r="S99" i="2"/>
  <c r="T99" i="2" s="1"/>
  <c r="P99" i="2"/>
  <c r="S98" i="2"/>
  <c r="T98" i="2" s="1"/>
  <c r="P98" i="2"/>
  <c r="S97" i="2"/>
  <c r="T97" i="2" s="1"/>
  <c r="P97" i="2"/>
  <c r="S96" i="2"/>
  <c r="T96" i="2" s="1"/>
  <c r="P96" i="2"/>
  <c r="S95" i="2"/>
  <c r="T95" i="2" s="1"/>
  <c r="P95" i="2"/>
  <c r="S94" i="2"/>
  <c r="T94" i="2" s="1"/>
  <c r="P94" i="2"/>
  <c r="S93" i="2"/>
  <c r="T93" i="2" s="1"/>
  <c r="P93" i="2"/>
  <c r="S92" i="2"/>
  <c r="T92" i="2" s="1"/>
  <c r="P92" i="2"/>
  <c r="S91" i="2"/>
  <c r="T91" i="2" s="1"/>
  <c r="P91" i="2"/>
  <c r="S90" i="2"/>
  <c r="T90" i="2" s="1"/>
  <c r="P90" i="2"/>
  <c r="S89" i="2"/>
  <c r="T89" i="2" s="1"/>
  <c r="P89" i="2"/>
  <c r="S88" i="2"/>
  <c r="T88" i="2" s="1"/>
  <c r="P88" i="2"/>
  <c r="S87" i="2"/>
  <c r="T87" i="2" s="1"/>
  <c r="P87" i="2"/>
  <c r="S86" i="2"/>
  <c r="T86" i="2" s="1"/>
  <c r="P86" i="2"/>
  <c r="S85" i="2"/>
  <c r="T85" i="2" s="1"/>
  <c r="P85" i="2"/>
  <c r="S84" i="2"/>
  <c r="T84" i="2" s="1"/>
  <c r="P84" i="2"/>
  <c r="S83" i="2"/>
  <c r="T83" i="2" s="1"/>
  <c r="P83" i="2"/>
  <c r="S82" i="2"/>
  <c r="T82" i="2" s="1"/>
  <c r="P82" i="2"/>
  <c r="S81" i="2"/>
  <c r="T81" i="2" s="1"/>
  <c r="P81" i="2"/>
  <c r="S80" i="2"/>
  <c r="T80" i="2" s="1"/>
  <c r="P80" i="2"/>
  <c r="S79" i="2"/>
  <c r="T79" i="2" s="1"/>
  <c r="P79" i="2"/>
  <c r="S78" i="2"/>
  <c r="T78" i="2" s="1"/>
  <c r="P78" i="2"/>
  <c r="S77" i="2"/>
  <c r="T77" i="2" s="1"/>
  <c r="P77" i="2"/>
  <c r="S76" i="2"/>
  <c r="T76" i="2" s="1"/>
  <c r="P76" i="2"/>
  <c r="S75" i="2"/>
  <c r="T75" i="2" s="1"/>
  <c r="P75" i="2"/>
  <c r="S74" i="2"/>
  <c r="T74" i="2" s="1"/>
  <c r="P74" i="2"/>
  <c r="S73" i="2"/>
  <c r="T73" i="2" s="1"/>
  <c r="P73" i="2"/>
  <c r="S72" i="2"/>
  <c r="T72" i="2" s="1"/>
  <c r="P72" i="2"/>
  <c r="S71" i="2"/>
  <c r="T71" i="2" s="1"/>
  <c r="P71" i="2"/>
  <c r="S70" i="2"/>
  <c r="T70" i="2" s="1"/>
  <c r="P70" i="2"/>
  <c r="S69" i="2"/>
  <c r="T69" i="2" s="1"/>
  <c r="P69" i="2"/>
  <c r="S68" i="2"/>
  <c r="T68" i="2" s="1"/>
  <c r="P68" i="2"/>
  <c r="S67" i="2"/>
  <c r="T67" i="2" s="1"/>
  <c r="P67" i="2"/>
  <c r="S66" i="2"/>
  <c r="T66" i="2" s="1"/>
  <c r="P66" i="2"/>
  <c r="S65" i="2"/>
  <c r="T65" i="2" s="1"/>
  <c r="P65" i="2"/>
  <c r="S64" i="2"/>
  <c r="T64" i="2" s="1"/>
  <c r="P64" i="2"/>
  <c r="S63" i="2"/>
  <c r="T63" i="2" s="1"/>
  <c r="P63" i="2"/>
  <c r="S62" i="2"/>
  <c r="T62" i="2" s="1"/>
  <c r="P62" i="2"/>
  <c r="S61" i="2"/>
  <c r="T61" i="2" s="1"/>
  <c r="P61" i="2"/>
  <c r="S60" i="2"/>
  <c r="T60" i="2" s="1"/>
  <c r="P60" i="2"/>
  <c r="S59" i="2"/>
  <c r="T59" i="2" s="1"/>
  <c r="P59" i="2"/>
  <c r="S58" i="2"/>
  <c r="T58" i="2" s="1"/>
  <c r="P58" i="2"/>
  <c r="S57" i="2"/>
  <c r="T57" i="2" s="1"/>
  <c r="P57" i="2"/>
  <c r="S56" i="2"/>
  <c r="T56" i="2" s="1"/>
  <c r="P56" i="2"/>
  <c r="S55" i="2"/>
  <c r="T55" i="2" s="1"/>
  <c r="P55" i="2"/>
  <c r="S54" i="2"/>
  <c r="T54" i="2" s="1"/>
  <c r="P54" i="2"/>
  <c r="S53" i="2"/>
  <c r="T53" i="2" s="1"/>
  <c r="P53" i="2"/>
  <c r="S52" i="2"/>
  <c r="T52" i="2" s="1"/>
  <c r="P52" i="2"/>
  <c r="S51" i="2"/>
  <c r="T51" i="2" s="1"/>
  <c r="P51" i="2"/>
  <c r="S50" i="2"/>
  <c r="T50" i="2" s="1"/>
  <c r="P50" i="2"/>
  <c r="S49" i="2"/>
  <c r="T49" i="2" s="1"/>
  <c r="P49" i="2"/>
  <c r="S48" i="2"/>
  <c r="T48" i="2" s="1"/>
  <c r="P48" i="2"/>
  <c r="S47" i="2"/>
  <c r="T47" i="2" s="1"/>
  <c r="P47" i="2"/>
  <c r="S46" i="2"/>
  <c r="T46" i="2" s="1"/>
  <c r="P46" i="2"/>
  <c r="S45" i="2"/>
  <c r="T45" i="2" s="1"/>
  <c r="P45" i="2"/>
  <c r="S44" i="2"/>
  <c r="T44" i="2" s="1"/>
  <c r="P44" i="2"/>
  <c r="S43" i="2"/>
  <c r="T43" i="2" s="1"/>
  <c r="P43" i="2"/>
  <c r="S42" i="2"/>
  <c r="T42" i="2" s="1"/>
  <c r="P42" i="2"/>
  <c r="S41" i="2"/>
  <c r="T41" i="2" s="1"/>
  <c r="P41" i="2"/>
  <c r="S40" i="2"/>
  <c r="T40" i="2" s="1"/>
  <c r="P40" i="2"/>
  <c r="S39" i="2"/>
  <c r="T39" i="2" s="1"/>
  <c r="P39" i="2"/>
  <c r="S38" i="2"/>
  <c r="T38" i="2" s="1"/>
  <c r="P38" i="2"/>
  <c r="S37" i="2"/>
  <c r="T37" i="2" s="1"/>
  <c r="P37" i="2"/>
  <c r="S36" i="2"/>
  <c r="T36" i="2" s="1"/>
  <c r="P36" i="2"/>
  <c r="S35" i="2"/>
  <c r="T35" i="2" s="1"/>
  <c r="P35" i="2"/>
  <c r="S34" i="2"/>
  <c r="T34" i="2" s="1"/>
  <c r="P34" i="2"/>
  <c r="S33" i="2"/>
  <c r="T33" i="2" s="1"/>
  <c r="P33" i="2"/>
  <c r="S32" i="2"/>
  <c r="T32" i="2" s="1"/>
  <c r="P32" i="2"/>
  <c r="S31" i="2"/>
  <c r="T31" i="2" s="1"/>
  <c r="P31" i="2"/>
  <c r="S30" i="2"/>
  <c r="T30" i="2" s="1"/>
  <c r="P30" i="2"/>
  <c r="S29" i="2"/>
  <c r="T29" i="2" s="1"/>
  <c r="P29" i="2"/>
  <c r="S28" i="2"/>
  <c r="T28" i="2" s="1"/>
  <c r="P28" i="2"/>
  <c r="S27" i="2"/>
  <c r="T27" i="2" s="1"/>
  <c r="P27" i="2"/>
  <c r="S26" i="2"/>
  <c r="T26" i="2" s="1"/>
  <c r="P26" i="2"/>
  <c r="S25" i="2"/>
  <c r="T25" i="2" s="1"/>
  <c r="P25" i="2"/>
  <c r="S24" i="2"/>
  <c r="T24" i="2" s="1"/>
  <c r="P24" i="2"/>
  <c r="S23" i="2"/>
  <c r="T23" i="2" s="1"/>
  <c r="P23" i="2"/>
  <c r="S22" i="2"/>
  <c r="T22" i="2" s="1"/>
  <c r="P22" i="2"/>
  <c r="S21" i="2"/>
  <c r="T21" i="2" s="1"/>
  <c r="P21" i="2"/>
  <c r="S20" i="2"/>
  <c r="T20" i="2" s="1"/>
  <c r="P20" i="2"/>
  <c r="S19" i="2"/>
  <c r="T19" i="2" s="1"/>
  <c r="P19" i="2"/>
  <c r="S18" i="2"/>
  <c r="T18" i="2" s="1"/>
  <c r="P18" i="2"/>
  <c r="S17" i="2"/>
  <c r="T17" i="2" s="1"/>
  <c r="P17" i="2"/>
  <c r="S16" i="2"/>
  <c r="T16" i="2" s="1"/>
  <c r="P16" i="2"/>
  <c r="S15" i="2"/>
  <c r="T15" i="2" s="1"/>
  <c r="P15" i="2"/>
  <c r="S14" i="2"/>
  <c r="T14" i="2" s="1"/>
  <c r="P14" i="2"/>
  <c r="S13" i="2"/>
  <c r="T13" i="2" s="1"/>
  <c r="P13" i="2"/>
  <c r="S12" i="2"/>
  <c r="T12" i="2" s="1"/>
  <c r="P12" i="2"/>
  <c r="S11" i="2"/>
  <c r="T11" i="2" s="1"/>
  <c r="P11" i="2"/>
  <c r="S10" i="2"/>
  <c r="T10" i="2" s="1"/>
  <c r="P10" i="2"/>
  <c r="S9" i="2"/>
  <c r="T9" i="2" s="1"/>
  <c r="P9" i="2"/>
  <c r="S8" i="2"/>
  <c r="T8" i="2" s="1"/>
  <c r="P8" i="2"/>
  <c r="S7" i="2"/>
  <c r="T7" i="2" s="1"/>
  <c r="P7" i="2"/>
  <c r="S6" i="2"/>
  <c r="T6" i="2" s="1"/>
  <c r="P6" i="2"/>
  <c r="S5" i="2"/>
  <c r="T5" i="2" s="1"/>
  <c r="P5" i="2"/>
  <c r="S4" i="2"/>
  <c r="T4" i="2" s="1"/>
  <c r="P4" i="2"/>
  <c r="P3" i="2"/>
  <c r="B22" i="9" l="1"/>
  <c r="I27" i="7"/>
  <c r="H27" i="7"/>
  <c r="A7" i="9"/>
  <c r="J4" i="3"/>
  <c r="M4" i="6"/>
  <c r="C7" i="9"/>
  <c r="B14" i="9"/>
  <c r="B16" i="10"/>
  <c r="B17" i="10"/>
  <c r="B18" i="10" s="1"/>
  <c r="E21" i="9"/>
  <c r="D21" i="9"/>
  <c r="E20" i="9"/>
  <c r="D20" i="9"/>
  <c r="E19" i="9"/>
  <c r="D19" i="9"/>
  <c r="E18" i="9"/>
  <c r="D18" i="9"/>
  <c r="E17" i="9"/>
  <c r="D17" i="9"/>
  <c r="E16" i="9"/>
  <c r="D16" i="9"/>
  <c r="I26" i="7"/>
  <c r="H26" i="7"/>
  <c r="I25" i="7"/>
  <c r="H25" i="7"/>
  <c r="H24" i="7"/>
  <c r="I24" i="7"/>
  <c r="H23" i="7"/>
  <c r="I23" i="7"/>
  <c r="H22" i="7"/>
  <c r="I22" i="7"/>
  <c r="H21" i="7"/>
  <c r="I21" i="7"/>
  <c r="H20" i="7"/>
  <c r="I20" i="7"/>
  <c r="H19" i="7"/>
  <c r="I19" i="7"/>
  <c r="I18" i="7"/>
  <c r="H18" i="7"/>
  <c r="H17" i="7"/>
  <c r="I17" i="7"/>
  <c r="H16" i="7"/>
  <c r="I16" i="7"/>
  <c r="H15" i="7"/>
  <c r="I15" i="7"/>
  <c r="H14" i="7"/>
  <c r="I14" i="7"/>
  <c r="I13" i="7"/>
  <c r="H13" i="7"/>
  <c r="H12" i="7"/>
  <c r="I12" i="7"/>
  <c r="I11" i="7"/>
  <c r="H11" i="7"/>
  <c r="I10" i="7"/>
  <c r="H10" i="7"/>
  <c r="I9" i="7"/>
  <c r="H9" i="7"/>
  <c r="H8" i="7"/>
  <c r="I8" i="7"/>
  <c r="I7" i="7"/>
  <c r="H7" i="7"/>
  <c r="I6" i="7"/>
  <c r="H6" i="7"/>
  <c r="I5" i="7"/>
  <c r="H5" i="7"/>
  <c r="H4" i="7"/>
  <c r="I4" i="7"/>
  <c r="B38" i="4"/>
  <c r="G27" i="4"/>
  <c r="H27" i="4" s="1"/>
  <c r="I27" i="4" s="1"/>
  <c r="J27" i="4" s="1"/>
  <c r="B40" i="4"/>
  <c r="B39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26" i="4"/>
  <c r="B15" i="9"/>
  <c r="E7" i="9"/>
  <c r="J19" i="4"/>
  <c r="J23" i="4"/>
  <c r="J18" i="4"/>
  <c r="J20" i="4"/>
  <c r="J21" i="4"/>
  <c r="J22" i="4"/>
  <c r="J24" i="4"/>
  <c r="J25" i="4"/>
  <c r="B13" i="9"/>
  <c r="D22" i="9" l="1"/>
  <c r="E22" i="9"/>
  <c r="H28" i="7"/>
  <c r="I28" i="7"/>
  <c r="E14" i="9"/>
  <c r="D14" i="9"/>
  <c r="B34" i="4"/>
  <c r="B35" i="4"/>
  <c r="D15" i="9"/>
  <c r="E15" i="9"/>
  <c r="D13" i="9"/>
  <c r="E13" i="9"/>
  <c r="K7" i="9"/>
</calcChain>
</file>

<file path=xl/sharedStrings.xml><?xml version="1.0" encoding="utf-8"?>
<sst xmlns="http://schemas.openxmlformats.org/spreadsheetml/2006/main" count="4753" uniqueCount="749">
  <si>
    <t>Supply Chain Performance Dashboard | FY 2023–2024</t>
  </si>
  <si>
    <t>April 2025</t>
  </si>
  <si>
    <t>NAVIGATION</t>
  </si>
  <si>
    <t>→ Raw Data</t>
  </si>
  <si>
    <t>→ Inventory Analysis</t>
  </si>
  <si>
    <t>→ Demand Forecasting</t>
  </si>
  <si>
    <t>→ Supplier Scorecard</t>
  </si>
  <si>
    <t>→ Logistics &amp; Delivery</t>
  </si>
  <si>
    <t>→ Cost Analysis</t>
  </si>
  <si>
    <t>→ Workforce &amp; Ops</t>
  </si>
  <si>
    <t>→ KPI Dashboard</t>
  </si>
  <si>
    <t>→ What-If Simulator</t>
  </si>
  <si>
    <t>Order ID</t>
  </si>
  <si>
    <t>Order Date</t>
  </si>
  <si>
    <t>Product ID</t>
  </si>
  <si>
    <t>Product Name</t>
  </si>
  <si>
    <t>Product Category</t>
  </si>
  <si>
    <t>Warehouse/DC</t>
  </si>
  <si>
    <t>Customer ID</t>
  </si>
  <si>
    <t>Customer Name</t>
  </si>
  <si>
    <t>Customer Region</t>
  </si>
  <si>
    <t>Customer City</t>
  </si>
  <si>
    <t>Supplier ID</t>
  </si>
  <si>
    <t>Supplier Name</t>
  </si>
  <si>
    <t>Supplier State</t>
  </si>
  <si>
    <t>Quantity Ordered</t>
  </si>
  <si>
    <t>Unit Price (₹)</t>
  </si>
  <si>
    <t>Total Order Value (₹)</t>
  </si>
  <si>
    <t>Promised Delivery Days</t>
  </si>
  <si>
    <t>Actual Delivery Days</t>
  </si>
  <si>
    <t>Delay (Days)</t>
  </si>
  <si>
    <t>On-Time Delivery</t>
  </si>
  <si>
    <t>Stock On Hand (Units)</t>
  </si>
  <si>
    <t>Units Consumed (Period)</t>
  </si>
  <si>
    <t>Reorder Point</t>
  </si>
  <si>
    <t>Holding Cost/Unit (₹/day)</t>
  </si>
  <si>
    <t>Supplier Lead Time (days)</t>
  </si>
  <si>
    <t>Unit Cost (₹)</t>
  </si>
  <si>
    <t>Freight Cost (₹)</t>
  </si>
  <si>
    <t>Supplier Reliability Score</t>
  </si>
  <si>
    <t>ORD-0001</t>
  </si>
  <si>
    <t>PRD-019</t>
  </si>
  <si>
    <t>Gearbox Assembly</t>
  </si>
  <si>
    <t>Mechanical</t>
  </si>
  <si>
    <t>DC-HYD</t>
  </si>
  <si>
    <t>CUST-013</t>
  </si>
  <si>
    <t>Hindustan Motors</t>
  </si>
  <si>
    <t>East</t>
  </si>
  <si>
    <t>Kolkata</t>
  </si>
  <si>
    <t>SUP-008</t>
  </si>
  <si>
    <t>Delhi Auto Components</t>
  </si>
  <si>
    <t>Uttar Pradesh</t>
  </si>
  <si>
    <t>ORD-0002</t>
  </si>
  <si>
    <t>PRD-012</t>
  </si>
  <si>
    <t>Oil Filter</t>
  </si>
  <si>
    <t>DC-BLR</t>
  </si>
  <si>
    <t>CUST-025</t>
  </si>
  <si>
    <t>Wirtgen India</t>
  </si>
  <si>
    <t>West</t>
  </si>
  <si>
    <t>Pune</t>
  </si>
  <si>
    <t>SUP-006</t>
  </si>
  <si>
    <t>Pune Precision</t>
  </si>
  <si>
    <t>Maharashtra</t>
  </si>
  <si>
    <t>ORD-0003</t>
  </si>
  <si>
    <t>PRD-003</t>
  </si>
  <si>
    <t>V-Belt Set</t>
  </si>
  <si>
    <t>DC-CHN</t>
  </si>
  <si>
    <t>CUST-022</t>
  </si>
  <si>
    <t>Komatsu India</t>
  </si>
  <si>
    <t>South</t>
  </si>
  <si>
    <t>Chennai</t>
  </si>
  <si>
    <t>SUP-002</t>
  </si>
  <si>
    <t>TN Parts Pvt. Ltd.</t>
  </si>
  <si>
    <t>Tamil Nadu</t>
  </si>
  <si>
    <t>ORD-0004</t>
  </si>
  <si>
    <t>PRD-018</t>
  </si>
  <si>
    <t>Rivet Set</t>
  </si>
  <si>
    <t>Fasteners</t>
  </si>
  <si>
    <t>CUST-030</t>
  </si>
  <si>
    <t>XCMG India</t>
  </si>
  <si>
    <t>Hyderabad</t>
  </si>
  <si>
    <t>SUP-003</t>
  </si>
  <si>
    <t>GujFab Ltd.</t>
  </si>
  <si>
    <t>Gujarat</t>
  </si>
  <si>
    <t>ORD-0005</t>
  </si>
  <si>
    <t>PRD-005</t>
  </si>
  <si>
    <t>Welding Gloves</t>
  </si>
  <si>
    <t>Safety</t>
  </si>
  <si>
    <t>CUST-011</t>
  </si>
  <si>
    <t>Godrej Industries</t>
  </si>
  <si>
    <t>Mumbai</t>
  </si>
  <si>
    <t>SUP-005</t>
  </si>
  <si>
    <t>UP Electricals</t>
  </si>
  <si>
    <t>ORD-0006</t>
  </si>
  <si>
    <t>CUST-009</t>
  </si>
  <si>
    <t>Vedanta Resources</t>
  </si>
  <si>
    <t>Ahmedabad</t>
  </si>
  <si>
    <t>ORD-0007</t>
  </si>
  <si>
    <t>PRD-001</t>
  </si>
  <si>
    <t>Hydraulic Pump</t>
  </si>
  <si>
    <t>Hydraulics</t>
  </si>
  <si>
    <t>CUST-018</t>
  </si>
  <si>
    <t>TVS Motor</t>
  </si>
  <si>
    <t>Bengaluru</t>
  </si>
  <si>
    <t>SUP-004</t>
  </si>
  <si>
    <t>RajMetals Corp</t>
  </si>
  <si>
    <t>Rajasthan</t>
  </si>
  <si>
    <t>ORD-0008</t>
  </si>
  <si>
    <t>SUP-001</t>
  </si>
  <si>
    <t>MahaComp Industries</t>
  </si>
  <si>
    <t>ORD-0009</t>
  </si>
  <si>
    <t>PRD-004</t>
  </si>
  <si>
    <t>Safety Helmet</t>
  </si>
  <si>
    <t>DC-DEL</t>
  </si>
  <si>
    <t>CUST-014</t>
  </si>
  <si>
    <t>Mahindra &amp; Mahindra</t>
  </si>
  <si>
    <t>ORD-0010</t>
  </si>
  <si>
    <t>PRD-015</t>
  </si>
  <si>
    <t>Safety Boots</t>
  </si>
  <si>
    <t>ORD-0011</t>
  </si>
  <si>
    <t>PRD-013</t>
  </si>
  <si>
    <t>Chain Sprocket</t>
  </si>
  <si>
    <t>CUST-027</t>
  </si>
  <si>
    <t>Putzmeister</t>
  </si>
  <si>
    <t>ORD-0012</t>
  </si>
  <si>
    <t>PRD-011</t>
  </si>
  <si>
    <t>Cable Harness</t>
  </si>
  <si>
    <t>Electrical</t>
  </si>
  <si>
    <t>DC-MUM</t>
  </si>
  <si>
    <t>ORD-0013</t>
  </si>
  <si>
    <t>CUST-006</t>
  </si>
  <si>
    <t>BHEL Trichy</t>
  </si>
  <si>
    <t>ORD-0014</t>
  </si>
  <si>
    <t>PRD-006</t>
  </si>
  <si>
    <t>Hydraulic Hose</t>
  </si>
  <si>
    <t>CUST-023</t>
  </si>
  <si>
    <t>Volvo Eicher</t>
  </si>
  <si>
    <t>North</t>
  </si>
  <si>
    <t>Delhi</t>
  </si>
  <si>
    <t>ORD-0015</t>
  </si>
  <si>
    <t>CUST-021</t>
  </si>
  <si>
    <t>Caterpillar India</t>
  </si>
  <si>
    <t>ORD-0016</t>
  </si>
  <si>
    <t>ORD-0017</t>
  </si>
  <si>
    <t>ORD-0018</t>
  </si>
  <si>
    <t>CUST-024</t>
  </si>
  <si>
    <t>Schwing Stetter</t>
  </si>
  <si>
    <t>ORD-0019</t>
  </si>
  <si>
    <t>ORD-0020</t>
  </si>
  <si>
    <t>CUST-029</t>
  </si>
  <si>
    <t>Sany India</t>
  </si>
  <si>
    <t>ORD-0021</t>
  </si>
  <si>
    <t>CUST-004</t>
  </si>
  <si>
    <t>Thermax Ltd.</t>
  </si>
  <si>
    <t>ORD-0022</t>
  </si>
  <si>
    <t>PRD-020</t>
  </si>
  <si>
    <t>Dust Mask N95</t>
  </si>
  <si>
    <t>ORD-0023</t>
  </si>
  <si>
    <t>CUST-017</t>
  </si>
  <si>
    <t>Hyundai India</t>
  </si>
  <si>
    <t>ORD-0024</t>
  </si>
  <si>
    <t>PRD-008</t>
  </si>
  <si>
    <t>Fastener Bolt M16</t>
  </si>
  <si>
    <t>ORD-0025</t>
  </si>
  <si>
    <t>ORD-0026</t>
  </si>
  <si>
    <t>ORD-0027</t>
  </si>
  <si>
    <t>CUST-019</t>
  </si>
  <si>
    <t>Suzuki Powertrain</t>
  </si>
  <si>
    <t>ORD-0028</t>
  </si>
  <si>
    <t>PRD-007</t>
  </si>
  <si>
    <t>Pneumatic Valve</t>
  </si>
  <si>
    <t>CUST-026</t>
  </si>
  <si>
    <t>Liebherr India</t>
  </si>
  <si>
    <t>ORD-0029</t>
  </si>
  <si>
    <t>ORD-0030</t>
  </si>
  <si>
    <t>CUST-003</t>
  </si>
  <si>
    <t>Kirloskar Brothers</t>
  </si>
  <si>
    <t>ORD-0031</t>
  </si>
  <si>
    <t>CUST-015</t>
  </si>
  <si>
    <t>Bajaj Auto</t>
  </si>
  <si>
    <t>ORD-0032</t>
  </si>
  <si>
    <t>PRD-010</t>
  </si>
  <si>
    <t>Electrical Relay</t>
  </si>
  <si>
    <t>ORD-0033</t>
  </si>
  <si>
    <t>ORD-0034</t>
  </si>
  <si>
    <t>ORD-0035</t>
  </si>
  <si>
    <t>ORD-0036</t>
  </si>
  <si>
    <t>PRD-017</t>
  </si>
  <si>
    <t>Cylinder Seal Kit</t>
  </si>
  <si>
    <t>SUP-007</t>
  </si>
  <si>
    <t>Chennai Hydraulics</t>
  </si>
  <si>
    <t>ORD-0037</t>
  </si>
  <si>
    <t>CUST-020</t>
  </si>
  <si>
    <t>Escorts Kubota</t>
  </si>
  <si>
    <t>ORD-0038</t>
  </si>
  <si>
    <t>ORD-0039</t>
  </si>
  <si>
    <t>ORD-0040</t>
  </si>
  <si>
    <t>CUST-012</t>
  </si>
  <si>
    <t>Bharat Forge</t>
  </si>
  <si>
    <t>ORD-0041</t>
  </si>
  <si>
    <t>ORD-0042</t>
  </si>
  <si>
    <t>ORD-0043</t>
  </si>
  <si>
    <t>ORD-0044</t>
  </si>
  <si>
    <t>CUST-001</t>
  </si>
  <si>
    <t>Tata Projects Ltd.</t>
  </si>
  <si>
    <t>ORD-0045</t>
  </si>
  <si>
    <t>PRD-016</t>
  </si>
  <si>
    <t>LED Work Light</t>
  </si>
  <si>
    <t>ORD-0046</t>
  </si>
  <si>
    <t>ORD-0047</t>
  </si>
  <si>
    <t>ORD-0048</t>
  </si>
  <si>
    <t>ORD-0049</t>
  </si>
  <si>
    <t>CUST-008</t>
  </si>
  <si>
    <t>Jindal Steel</t>
  </si>
  <si>
    <t>Central</t>
  </si>
  <si>
    <t>ORD-0050</t>
  </si>
  <si>
    <t>ORD-0051</t>
  </si>
  <si>
    <t>CUST-016</t>
  </si>
  <si>
    <t>Maruti Suzuki</t>
  </si>
  <si>
    <t>ORD-0052</t>
  </si>
  <si>
    <t>ORD-0053</t>
  </si>
  <si>
    <t>PRD-009</t>
  </si>
  <si>
    <t>Fastener Nut M16</t>
  </si>
  <si>
    <t>ORD-0054</t>
  </si>
  <si>
    <t>ORD-0055</t>
  </si>
  <si>
    <t>ORD-0056</t>
  </si>
  <si>
    <t>ORD-0057</t>
  </si>
  <si>
    <t>ORD-0058</t>
  </si>
  <si>
    <t>ORD-0059</t>
  </si>
  <si>
    <t>CUST-002</t>
  </si>
  <si>
    <t>L&amp;T Construction</t>
  </si>
  <si>
    <t>ORD-0060</t>
  </si>
  <si>
    <t>ORD-0061</t>
  </si>
  <si>
    <t>ORD-0062</t>
  </si>
  <si>
    <t>PRD-002</t>
  </si>
  <si>
    <t>Ball Bearing SKF</t>
  </si>
  <si>
    <t>CUST-007</t>
  </si>
  <si>
    <t>SAIL Rourkela</t>
  </si>
  <si>
    <t>ORD-0063</t>
  </si>
  <si>
    <t>ORD-0064</t>
  </si>
  <si>
    <t>ORD-0065</t>
  </si>
  <si>
    <t>PRD-014</t>
  </si>
  <si>
    <t>Pressure Gauge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</si>
  <si>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</si>
  <si>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</si>
  <si>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</si>
  <si>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</si>
  <si>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</si>
  <si>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</si>
  <si>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</si>
  <si>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</si>
  <si>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CUST-028</t>
  </si>
  <si>
    <t>ACE Cranes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</si>
  <si>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</si>
  <si>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</si>
  <si>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</si>
  <si>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</si>
  <si>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</si>
  <si>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</si>
  <si>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</si>
  <si>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</si>
  <si>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</si>
  <si>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</si>
  <si>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</si>
  <si>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</si>
  <si>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CUST-005</t>
  </si>
  <si>
    <t>Ashok Leyland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</si>
  <si>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</si>
  <si>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</si>
  <si>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</si>
  <si>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</si>
  <si>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</si>
  <si>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</si>
  <si>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</si>
  <si>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</si>
  <si>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</si>
  <si>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</si>
  <si>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</si>
  <si>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</si>
  <si>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</si>
  <si>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</si>
  <si>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</si>
  <si>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</si>
  <si>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</si>
  <si>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</si>
  <si>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</si>
  <si>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</si>
  <si>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</si>
  <si>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</si>
  <si>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</si>
  <si>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</si>
  <si>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</si>
  <si>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</si>
  <si>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</si>
  <si>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</si>
  <si>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</si>
  <si>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</si>
  <si>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</si>
  <si>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</si>
  <si>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</si>
  <si>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</si>
  <si>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</si>
  <si>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</si>
  <si>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</si>
  <si>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</si>
  <si>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</si>
  <si>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</si>
  <si>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</si>
  <si>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</si>
  <si>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</si>
  <si>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</si>
  <si>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CUST-010</t>
  </si>
  <si>
    <t>Adani Ports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</si>
  <si>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</si>
  <si>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</si>
  <si>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</si>
  <si>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</si>
  <si>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</si>
  <si>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</si>
  <si>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</si>
  <si>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</si>
  <si>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</si>
  <si>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</si>
  <si>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</si>
  <si>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</si>
  <si>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</si>
  <si>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</si>
  <si>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</si>
  <si>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</si>
  <si>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</si>
  <si>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</si>
  <si>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</si>
  <si>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</si>
  <si>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</si>
  <si>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</si>
  <si>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</si>
  <si>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</si>
  <si>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</si>
  <si>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</si>
  <si>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</si>
  <si>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</si>
  <si>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</si>
  <si>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</si>
  <si>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</si>
  <si>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</si>
  <si>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</si>
  <si>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</si>
  <si>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</si>
  <si>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</si>
  <si>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</si>
  <si>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</si>
  <si>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</si>
  <si>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</si>
  <si>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</si>
  <si>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</si>
  <si>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</si>
  <si>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</si>
  <si>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</si>
  <si>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</si>
  <si>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</si>
  <si>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</si>
  <si>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</si>
  <si>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</si>
  <si>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</si>
  <si>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</si>
  <si>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</si>
  <si>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</si>
  <si>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</si>
  <si>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</si>
  <si>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</si>
  <si>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</si>
  <si>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</si>
  <si>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</si>
  <si>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</si>
  <si>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</si>
  <si>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</si>
  <si>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</si>
  <si>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</si>
  <si>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</si>
  <si>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</si>
  <si>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</si>
  <si>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</si>
  <si>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</si>
  <si>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</si>
  <si>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</si>
  <si>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</si>
  <si>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</si>
  <si>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</si>
  <si>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</si>
  <si>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</si>
  <si>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</si>
  <si>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ORD-0208</t>
  </si>
  <si>
    <t>ORD-0209</t>
  </si>
  <si>
    <t>ORD-0210</t>
  </si>
  <si>
    <t>ORD-0211</t>
  </si>
  <si>
    <t>ORD-0212</t>
  </si>
  <si>
    <t>ORD-0213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</si>
  <si>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</si>
  <si>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</si>
  <si>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</si>
  <si>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</si>
  <si>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</si>
  <si>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</si>
  <si>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</si>
  <si>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</si>
  <si>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</si>
  <si>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</si>
  <si>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</si>
  <si>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</si>
  <si>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</si>
  <si>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</si>
  <si>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</si>
  <si>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</si>
  <si>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</si>
  <si>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</si>
  <si>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</si>
  <si>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</si>
  <si>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</si>
  <si>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</si>
  <si>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ORD-0236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</si>
  <si>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</si>
  <si>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</si>
  <si>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</si>
  <si>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</si>
  <si>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</si>
  <si>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</si>
  <si>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</si>
  <si>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</si>
  <si>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</si>
  <si>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</si>
  <si>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ORD-0247</t>
  </si>
  <si>
    <t>ORD-0248</t>
  </si>
  <si>
    <t>ORD-0249</t>
  </si>
  <si>
    <t>ORD-0250</t>
  </si>
  <si>
    <t>ORD-0251</t>
  </si>
  <si>
    <t>ORD-0252</t>
  </si>
  <si>
    <t>ORD-0253</t>
  </si>
  <si>
    <t>ORD-0254</t>
  </si>
  <si>
    <t>ORD-0255</t>
  </si>
  <si>
    <t>ORD-0256</t>
  </si>
  <si>
    <t>ORD-0257</t>
  </si>
  <si>
    <t>ORD-0258</t>
  </si>
  <si>
    <t>ORD-0259</t>
  </si>
  <si>
    <t>ORD-0260</t>
  </si>
  <si>
    <t>ORD-0261</t>
  </si>
  <si>
    <t>ORD-0262</t>
  </si>
  <si>
    <t>ORD-0263</t>
  </si>
  <si>
    <t>ORD-0264</t>
  </si>
  <si>
    <t>ORD-0265</t>
  </si>
  <si>
    <t>ORD-0266</t>
  </si>
  <si>
    <t>ORD-0267</t>
  </si>
  <si>
    <t>ORD-0268</t>
  </si>
  <si>
    <t>ORD-0269</t>
  </si>
  <si>
    <t>ORD-0270</t>
  </si>
  <si>
    <t>ORD-0271</t>
  </si>
  <si>
    <t>ORD-0272</t>
  </si>
  <si>
    <t>ORD-0273</t>
  </si>
  <si>
    <t>ORD-0274</t>
  </si>
  <si>
    <t>ORD-0275</t>
  </si>
  <si>
    <t>ORD-0276</t>
  </si>
  <si>
    <t>ORD-0277</t>
  </si>
  <si>
    <t>ORD-0278</t>
  </si>
  <si>
    <t>ORD-0279</t>
  </si>
  <si>
    <t>ORD-0280</t>
  </si>
  <si>
    <t>ORD-0281</t>
  </si>
  <si>
    <t>ORD-0282</t>
  </si>
  <si>
    <t>ORD-0283</t>
  </si>
  <si>
    <t>ORD-0284</t>
  </si>
  <si>
    <t>ORD-0285</t>
  </si>
  <si>
    <t>ORD-0286</t>
  </si>
  <si>
    <t>ORD-0287</t>
  </si>
  <si>
    <t>ORD-0288</t>
  </si>
  <si>
    <t>ORD-0289</t>
  </si>
  <si>
    <t>ORD-0290</t>
  </si>
  <si>
    <t>ORD-0291</t>
  </si>
  <si>
    <t>ORD-0292</t>
  </si>
  <si>
    <t>ORD-0293</t>
  </si>
  <si>
    <t>ORD-0294</t>
  </si>
  <si>
    <t>ORD-0295</t>
  </si>
  <si>
    <t>ORD-0296</t>
  </si>
  <si>
    <t>ORD-0297</t>
  </si>
  <si>
    <t>ORD-0298</t>
  </si>
  <si>
    <t>ORD-0299</t>
  </si>
  <si>
    <t>ORD-0300</t>
  </si>
  <si>
    <t>ORD-0301</t>
  </si>
  <si>
    <t>ORD-0302</t>
  </si>
  <si>
    <t>ORD-0303</t>
  </si>
  <si>
    <t>ORD-0304</t>
  </si>
  <si>
    <t>ORD-0305</t>
  </si>
  <si>
    <t>ORD-0306</t>
  </si>
  <si>
    <t>ORD-0307</t>
  </si>
  <si>
    <t>ORD-0308</t>
  </si>
  <si>
    <t>ORD-0309</t>
  </si>
  <si>
    <t>ORD-0310</t>
  </si>
  <si>
    <t>ORD-0311</t>
  </si>
  <si>
    <t>ORD-0312</t>
  </si>
  <si>
    <t>ORD-0313</t>
  </si>
  <si>
    <t>ORD-0314</t>
  </si>
  <si>
    <t>ORD-0315</t>
  </si>
  <si>
    <t>ORD-0316</t>
  </si>
  <si>
    <t>ORD-0317</t>
  </si>
  <si>
    <t>ORD-0318</t>
  </si>
  <si>
    <t>ORD-0319</t>
  </si>
  <si>
    <t>ORD-0320</t>
  </si>
  <si>
    <t>INVENTORY ANALYSIS — ABC CLASSIFICATION &amp; STOCK HEALTH</t>
  </si>
  <si>
    <t>Category</t>
  </si>
  <si>
    <t>DC Location</t>
  </si>
  <si>
    <t>Avg Stock (Units)</t>
  </si>
  <si>
    <t>Total Consumed</t>
  </si>
  <si>
    <t>COGS (₹)</t>
  </si>
  <si>
    <t>Avg Stock Value (₹)</t>
  </si>
  <si>
    <t>Inventory Turnover</t>
  </si>
  <si>
    <t>Days Inventory Outstanding</t>
  </si>
  <si>
    <t>Stockout Risk</t>
  </si>
  <si>
    <t>ABC Class</t>
  </si>
  <si>
    <t>A</t>
  </si>
  <si>
    <t>B</t>
  </si>
  <si>
    <t>C</t>
  </si>
  <si>
    <t>ABC CLASSIFICATION SUMMARY</t>
  </si>
  <si>
    <t>Class</t>
  </si>
  <si>
    <t>Item Count</t>
  </si>
  <si>
    <t>% of Total COGS</t>
  </si>
  <si>
    <t>Recommendation</t>
  </si>
  <si>
    <t>Tight control, frequent review, priority replenishment</t>
  </si>
  <si>
    <t>Moderate control, periodic review, standard reorder</t>
  </si>
  <si>
    <t>Loose control, bulk ordering, minimize handling</t>
  </si>
  <si>
    <t>DEMAND FORECASTING — MONTHLY DEMAND &amp; MOVING AVERAGES</t>
  </si>
  <si>
    <t>Month</t>
  </si>
  <si>
    <t>Actual Demand (Units)</t>
  </si>
  <si>
    <t>Actual Demand (₹)</t>
  </si>
  <si>
    <t>3-Month MA (Units)</t>
  </si>
  <si>
    <t>5-Month MA (Units)</t>
  </si>
  <si>
    <t>Exponential Smoothing (α=0.3)</t>
  </si>
  <si>
    <t>Forecast for Next Month</t>
  </si>
  <si>
    <t>Absolute Error</t>
  </si>
  <si>
    <t>MAPE (%)</t>
  </si>
  <si>
    <t>Cumulative MAPE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</si>
  <si>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</si>
  <si>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</si>
  <si>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</si>
  <si>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</si>
  <si>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</si>
  <si>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</si>
  <si>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</si>
  <si>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</si>
  <si>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</si>
  <si>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</si>
  <si>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</si>
  <si>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</si>
  <si>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</si>
  <si>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</si>
  <si>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</si>
  <si>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</si>
  <si>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</si>
  <si>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</si>
  <si>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</si>
  <si>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</si>
  <si>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</si>
  <si>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</si>
  <si>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</si>
  <si>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</si>
  <si>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FORECAST SUMMARY</t>
  </si>
  <si>
    <t>Avg Monthly Demand (Units)</t>
  </si>
  <si>
    <t>Peak Demand Month</t>
  </si>
  <si>
    <t>Lowest Demand Month</t>
  </si>
  <si>
    <t>Best Forecast Method (lowest avg MAPE)</t>
  </si>
  <si>
    <t>3-Month MA</t>
  </si>
  <si>
    <t>Avg MAPE for 3-MA</t>
  </si>
  <si>
    <t>Avg MAPE for 5-MA</t>
  </si>
  <si>
    <t>FORECAST FOR NEXT 3 MONTHS (Based on Best Method)</t>
  </si>
  <si>
    <t>Jan-2025</t>
  </si>
  <si>
    <t>Feb-2025</t>
  </si>
  <si>
    <t>Mar-2025</t>
  </si>
  <si>
    <t>SUPPLIER SCORECARD — PERFORMANCE &amp; RISK EVALUATION</t>
  </si>
  <si>
    <t>State</t>
  </si>
  <si>
    <t>Category Supplied</t>
  </si>
  <si>
    <t>Total Orders</t>
  </si>
  <si>
    <t>Avg Lead Time (Days)</t>
  </si>
  <si>
    <t>Min Lead Time</t>
  </si>
  <si>
    <t>Max Lead Time</t>
  </si>
  <si>
    <t>Avg Unit Cost (₹)</t>
  </si>
  <si>
    <t>Total Spend (₹)</t>
  </si>
  <si>
    <t>Reliability Score</t>
  </si>
  <si>
    <t>Late Deliveries</t>
  </si>
  <si>
    <t>On-Time Deliveries</t>
  </si>
  <si>
    <t>OTD %</t>
  </si>
  <si>
    <t>Performance Grade</t>
  </si>
  <si>
    <t>Risk Flag</t>
  </si>
  <si>
    <t>Mechanical, Hydraulics</t>
  </si>
  <si>
    <t>Mechanical, Electrical</t>
  </si>
  <si>
    <t>Fasteners, Safety</t>
  </si>
  <si>
    <t>Hydraulics, Mechanical</t>
  </si>
  <si>
    <t>Safety, Electrical</t>
  </si>
  <si>
    <t>Mechanical, Fasteners</t>
  </si>
  <si>
    <t>LOGISTICS &amp; DELIVERY ANALYSIS — REGIONAL &amp; CITY PERFORMANCE</t>
  </si>
  <si>
    <t>Region</t>
  </si>
  <si>
    <t>City</t>
  </si>
  <si>
    <t>Total Shipments</t>
  </si>
  <si>
    <t>On-Time</t>
  </si>
  <si>
    <t>Late</t>
  </si>
  <si>
    <t>Avg Delay (Days)</t>
  </si>
  <si>
    <t>Max Delay (Days)</t>
  </si>
  <si>
    <t>Avg Delivery Days</t>
  </si>
  <si>
    <t>Total Freight Cost (₹)</t>
  </si>
  <si>
    <t>Revenue (₹)</t>
  </si>
  <si>
    <t>Freight as % of Revenue</t>
  </si>
  <si>
    <t>Status</t>
  </si>
  <si>
    <t>(Regional)</t>
  </si>
  <si>
    <t>Revenue</t>
  </si>
  <si>
    <t>Freight Cost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</si>
  <si>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</si>
  <si>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</si>
  <si>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</si>
  <si>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</si>
  <si>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</si>
  <si>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</si>
  <si>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</si>
  <si>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</si>
  <si>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</si>
  <si>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</si>
  <si>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</si>
  <si>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</si>
  <si>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</si>
  <si>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</si>
  <si>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</si>
  <si>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</si>
  <si>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</si>
  <si>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</si>
  <si>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</si>
  <si>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</si>
  <si>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</si>
  <si>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</si>
  <si>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</si>
  <si>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</si>
  <si>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COST ANALYSIS — DISTRIBUTION COST STRUCTURE &amp; MARGIN TRACKING</t>
  </si>
  <si>
    <t>Total Procurement Cost (₹)</t>
  </si>
  <si>
    <t>Total Holding Cost (₹)</t>
  </si>
  <si>
    <t>Total Distribution Cost (₹)</t>
  </si>
  <si>
    <t>Gross Margin (₹)</t>
  </si>
  <si>
    <t>Distribution Cost as % of Revenue</t>
  </si>
  <si>
    <t>Cost per Unit Shipped (₹)</t>
  </si>
  <si>
    <t>Cost Category</t>
  </si>
  <si>
    <t>Annual Value</t>
  </si>
  <si>
    <t>Procurement</t>
  </si>
  <si>
    <t>Freight</t>
  </si>
  <si>
    <t>Holding</t>
  </si>
  <si>
    <t>WORKFORCE &amp; OPERATIONS — DC EFFICIENCY &amp; SAFETY METRICS</t>
  </si>
  <si>
    <t>Total Workforce</t>
  </si>
  <si>
    <t>Orders Processed</t>
  </si>
  <si>
    <t>Orders per Person per Day</t>
  </si>
  <si>
    <t>Avg Processing Time (hrs)</t>
  </si>
  <si>
    <t>Overtime Hours</t>
  </si>
  <si>
    <t>Absenteeism %</t>
  </si>
  <si>
    <t>Training Hours Completed</t>
  </si>
  <si>
    <t>Safety Incidents</t>
  </si>
  <si>
    <t>Equipment Downtime (hrs)</t>
  </si>
  <si>
    <t>TEAM PERFORMANCE BY SHIFT</t>
  </si>
  <si>
    <t>Shift</t>
  </si>
  <si>
    <t>Team Leader</t>
  </si>
  <si>
    <t>Team Size</t>
  </si>
  <si>
    <t>Avg Orders/Day</t>
  </si>
  <si>
    <t>Error Rate %</t>
  </si>
  <si>
    <t>OT %</t>
  </si>
  <si>
    <t>Performance Rating (1-5)</t>
  </si>
  <si>
    <t>Morning</t>
  </si>
  <si>
    <t>Rajesh Kumar</t>
  </si>
  <si>
    <t>Afternoon</t>
  </si>
  <si>
    <t>Priya Sharma</t>
  </si>
  <si>
    <t>Night</t>
  </si>
  <si>
    <t>Amit Patel</t>
  </si>
  <si>
    <t>Weekend</t>
  </si>
  <si>
    <t>Sunita Devi</t>
  </si>
  <si>
    <t>On-Time Delivery %</t>
  </si>
  <si>
    <t>Forecast Accuracy</t>
  </si>
  <si>
    <t>Stockout Rate</t>
  </si>
  <si>
    <t>Avg Supplier Lead Time</t>
  </si>
  <si>
    <t>Distribution Cost %</t>
  </si>
  <si>
    <t>Target: &gt;4.0x</t>
  </si>
  <si>
    <t>Target: &gt;90%</t>
  </si>
  <si>
    <t>Target: &gt;85%</t>
  </si>
  <si>
    <t>Target: &lt;5%</t>
  </si>
  <si>
    <t>Target: &lt;15 Days</t>
  </si>
  <si>
    <t>Target: &lt;12%</t>
  </si>
  <si>
    <t>SECONDARY KPI TABLE</t>
  </si>
  <si>
    <t>KPI Name</t>
  </si>
  <si>
    <t>Current Value</t>
  </si>
  <si>
    <t>Target</t>
  </si>
  <si>
    <t>Variance</t>
  </si>
  <si>
    <t>Trend</t>
  </si>
  <si>
    <t>Commentary</t>
  </si>
  <si>
    <t>▲</t>
  </si>
  <si>
    <t>→</t>
  </si>
  <si>
    <t>Stable across regions</t>
  </si>
  <si>
    <t>85%</t>
  </si>
  <si>
    <t>3-Month MA performs best</t>
  </si>
  <si>
    <t>▼</t>
  </si>
  <si>
    <t>Within acceptable limit</t>
  </si>
  <si>
    <t>Avg Supplier Reliability</t>
  </si>
  <si>
    <t>0.85</t>
  </si>
  <si>
    <t>3 suppliers rated A-grade</t>
  </si>
  <si>
    <t>15</t>
  </si>
  <si>
    <t>Target met consistently</t>
  </si>
  <si>
    <t>Freight Cost as % of Revenue</t>
  </si>
  <si>
    <t>8%</t>
  </si>
  <si>
    <t>Slight increase in Q2</t>
  </si>
  <si>
    <t>DC Workforce Productivity</t>
  </si>
  <si>
    <t>18</t>
  </si>
  <si>
    <t>Morning shift leads</t>
  </si>
  <si>
    <t>Safety Incident Rate</t>
  </si>
  <si>
    <t>1</t>
  </si>
  <si>
    <t>Zero incidents in 4 months</t>
  </si>
  <si>
    <t>Fill Rate</t>
  </si>
  <si>
    <t>95%</t>
  </si>
  <si>
    <t>Service level excellent</t>
  </si>
  <si>
    <t>KPI</t>
  </si>
  <si>
    <t>Actual</t>
  </si>
  <si>
    <t>Turnover</t>
  </si>
  <si>
    <t>OTD</t>
  </si>
  <si>
    <t>Forecast</t>
  </si>
  <si>
    <t>Stockout</t>
  </si>
  <si>
    <t>LeadTime</t>
  </si>
  <si>
    <t>Cost%</t>
  </si>
  <si>
    <t>WHAT-IF SCENARIO SIMULATOR — DISTRIBUTION KPIS UNDER NEW ASSUMPTIONS</t>
  </si>
  <si>
    <t>INPUTS (Editable — Yellow Highlighted Cells)</t>
  </si>
  <si>
    <t>Desired OTD Target (%)</t>
  </si>
  <si>
    <t>Target Inventory Turnover</t>
  </si>
  <si>
    <t>Proposed Freight Cost Reduction (%)</t>
  </si>
  <si>
    <t>New Supplier Lead Time (days)</t>
  </si>
  <si>
    <t>Safety Stock Multiplier</t>
  </si>
  <si>
    <t>Workforce Target (orders/person/day)</t>
  </si>
  <si>
    <t>OUTPUTS (Auto-Calculated)</t>
  </si>
  <si>
    <t>Estimated Annual Freight Savings (₹)</t>
  </si>
  <si>
    <t>New Stockout Rate (estimated)</t>
  </si>
  <si>
    <t>New Inventory Holding Cost (₹)</t>
  </si>
  <si>
    <t>Estimated Service Level Improvement (%)</t>
  </si>
  <si>
    <t>Projected Annual Cost Reduction (₹)</t>
  </si>
  <si>
    <t>Break-even Volume for new parameters</t>
  </si>
  <si>
    <t>Current</t>
  </si>
  <si>
    <t>Projected</t>
  </si>
  <si>
    <t>Freight Cost %</t>
  </si>
  <si>
    <t>Lead Time</t>
  </si>
  <si>
    <t>Productivity</t>
  </si>
  <si>
    <t>[Siddharth Kaulagi | B.E. Industrial Engineering</t>
  </si>
  <si>
    <t>[B.M.S College of Engineering Bengaluru]</t>
  </si>
  <si>
    <t>Above target  strong stock rotation</t>
  </si>
  <si>
    <t>ONE DISTRIBUTORS — MASTER ORDER DATA FY2023-24</t>
  </si>
  <si>
    <t>SUPPLY CHAIN DISTRIBUTION &amp; LOGISTICS ANALYTICS SYSTEM FY 2023–24</t>
  </si>
  <si>
    <t>VBA_Macros Bar</t>
  </si>
  <si>
    <t>SUPPLY CHAIN &amp; DISTRIBUTION ANALYTICS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</si>
</sst>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-mmm\-yyyy"/>
    <numFmt numFmtId="165" formatCode="\₹###,##0.00"/>
    <numFmt numFmtId="166" formatCode="0.00\x"/>
    <numFmt numFmtId="167" formatCode="0.0"/>
    <numFmt numFmtId="173" formatCode="&quot;₹&quot;\ #,##0.00"/>
    <numFmt numFmtId="177" formatCode="\₹###,##0"/>
  </numFmts>
  <fonts count="27" x14ac:knownFonts="1">
    <font>
      <sz val="11"/>
      <color theme="1"/>
      <name val="Calibri"/>
      <scheme val="minor"/>
    </font>
    <font>
      <sz val="9"/>
      <color rgb="FFFFFFFF"/>
      <name val="Arial"/>
      <family val="2"/>
    </font>
    <font>
      <sz val="11"/>
      <name val="Calibri"/>
      <family val="2"/>
    </font>
    <font>
      <sz val="14"/>
      <color rgb="FFFFFFFF"/>
      <name val="Arial"/>
      <family val="2"/>
    </font>
    <font>
      <sz val="12"/>
      <color rgb="FFF2F2F2"/>
      <name val="Arial"/>
      <family val="2"/>
    </font>
    <font>
      <sz val="11"/>
      <color rgb="FFF2F2F2"/>
      <name val="Arial"/>
      <family val="2"/>
    </font>
    <font>
      <b/>
      <sz val="12"/>
      <color rgb="FFFFC200"/>
      <name val="Arial"/>
      <family val="2"/>
    </font>
    <font>
      <b/>
      <sz val="14"/>
      <color rgb="FF333333"/>
      <name val="Arial"/>
      <family val="2"/>
    </font>
    <font>
      <b/>
      <sz val="10"/>
      <color rgb="FFFFFFFF"/>
      <name val="Arial"/>
      <family val="2"/>
    </font>
    <font>
      <sz val="9"/>
      <color rgb="FF1F1F1F"/>
      <name val="Arial"/>
      <family val="2"/>
    </font>
    <font>
      <b/>
      <sz val="12"/>
      <color rgb="FF333333"/>
      <name val="Arial"/>
      <family val="2"/>
    </font>
    <font>
      <b/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1"/>
      <color rgb="FFFFFFFF"/>
      <name val="Arial"/>
      <family val="2"/>
    </font>
    <font>
      <sz val="11"/>
      <color theme="1"/>
      <name val="Calibri"/>
      <family val="2"/>
    </font>
    <font>
      <b/>
      <sz val="16"/>
      <color rgb="FF333333"/>
      <name val="Arial"/>
      <family val="2"/>
    </font>
    <font>
      <sz val="10"/>
      <color rgb="FF333333"/>
      <name val="Arial"/>
      <family val="2"/>
    </font>
    <font>
      <b/>
      <sz val="22"/>
      <color rgb="FF333333"/>
      <name val="Arial"/>
      <family val="2"/>
    </font>
    <font>
      <sz val="8"/>
      <color rgb="FF333333"/>
      <name val="Arial"/>
      <family val="2"/>
    </font>
    <font>
      <b/>
      <sz val="12"/>
      <color rgb="FFFFFFFF"/>
      <name val="Arial"/>
      <family val="2"/>
    </font>
    <font>
      <b/>
      <sz val="10"/>
      <color theme="1"/>
      <name val="Arial"/>
      <family val="2"/>
    </font>
    <font>
      <b/>
      <sz val="10"/>
      <color rgb="FF333333"/>
      <name val="Arial"/>
      <family val="2"/>
    </font>
    <font>
      <b/>
      <sz val="22"/>
      <color rgb="FFFFC200"/>
      <name val="Georgia"/>
      <family val="1"/>
    </font>
    <font>
      <u/>
      <sz val="11"/>
      <color theme="10"/>
      <name val="Calibri"/>
      <family val="2"/>
      <scheme val="minor"/>
    </font>
    <font>
      <b/>
      <sz val="10"/>
      <color theme="1"/>
      <name val="Segoe UI"/>
      <family val="2"/>
    </font>
    <font>
      <sz val="8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1F1F1F"/>
        <bgColor rgb="FF1F1F1F"/>
      </patternFill>
    </fill>
    <fill>
      <patternFill patternType="solid">
        <fgColor rgb="FFFFC200"/>
        <bgColor rgb="FFFFC200"/>
      </patternFill>
    </fill>
    <fill>
      <patternFill patternType="solid">
        <fgColor rgb="FF333333"/>
        <bgColor rgb="FF333333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28A745"/>
        <bgColor rgb="FF28A745"/>
      </patternFill>
    </fill>
    <fill>
      <patternFill patternType="solid">
        <fgColor rgb="FFFFC107"/>
        <bgColor rgb="FFFFC107"/>
      </patternFill>
    </fill>
    <fill>
      <patternFill patternType="solid">
        <fgColor rgb="FFDC3545"/>
        <bgColor rgb="FFDC3545"/>
      </patternFill>
    </fill>
    <fill>
      <patternFill patternType="solid">
        <fgColor rgb="FFE8E8E8"/>
        <bgColor rgb="FFE8E8E8"/>
      </patternFill>
    </fill>
    <fill>
      <patternFill patternType="solid">
        <fgColor rgb="FFF5F5F5"/>
        <bgColor rgb="FFF5F5F5"/>
      </patternFill>
    </fill>
    <fill>
      <patternFill patternType="solid">
        <fgColor rgb="FF17A2B8"/>
        <bgColor rgb="FF17A2B8"/>
      </patternFill>
    </fill>
    <fill>
      <patternFill patternType="solid">
        <fgColor rgb="FFE55B00"/>
        <bgColor rgb="FFE55B00"/>
      </patternFill>
    </fill>
    <fill>
      <patternFill patternType="solid">
        <fgColor rgb="FFFFF9C4"/>
        <bgColor rgb="FFFFF9C4"/>
      </patternFill>
    </fill>
    <fill>
      <patternFill patternType="solid">
        <fgColor theme="0"/>
        <bgColor rgb="FFF5F5F5"/>
      </patternFill>
    </fill>
    <fill>
      <patternFill patternType="solid">
        <fgColor theme="0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FCDD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C200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FFC2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105">
    <xf numFmtId="0" fontId="0" fillId="0" borderId="0" xfId="0"/>
    <xf numFmtId="0" fontId="1" fillId="2" borderId="1" xfId="0" applyFont="1" applyFill="1" applyBorder="1"/>
    <xf numFmtId="0" fontId="1" fillId="3" borderId="5" xfId="0" applyFont="1" applyFill="1" applyBorder="1"/>
    <xf numFmtId="0" fontId="8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65" fontId="9" fillId="5" borderId="1" xfId="0" applyNumberFormat="1" applyFont="1" applyFill="1" applyBorder="1" applyAlignment="1">
      <alignment horizontal="center" vertical="center"/>
    </xf>
    <xf numFmtId="2" fontId="9" fillId="5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65" fontId="9" fillId="6" borderId="1" xfId="0" applyNumberFormat="1" applyFont="1" applyFill="1" applyBorder="1" applyAlignment="1">
      <alignment horizontal="center" vertical="center"/>
    </xf>
    <xf numFmtId="2" fontId="9" fillId="6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2" fillId="0" borderId="0" xfId="0" applyFont="1"/>
    <xf numFmtId="3" fontId="9" fillId="5" borderId="1" xfId="0" applyNumberFormat="1" applyFont="1" applyFill="1" applyBorder="1" applyAlignment="1">
      <alignment horizontal="center" vertical="center"/>
    </xf>
    <xf numFmtId="10" fontId="9" fillId="5" borderId="1" xfId="0" applyNumberFormat="1" applyFont="1" applyFill="1" applyBorder="1" applyAlignment="1">
      <alignment horizontal="center" vertical="center"/>
    </xf>
    <xf numFmtId="3" fontId="9" fillId="6" borderId="1" xfId="0" applyNumberFormat="1" applyFont="1" applyFill="1" applyBorder="1" applyAlignment="1">
      <alignment horizontal="center" vertical="center"/>
    </xf>
    <xf numFmtId="10" fontId="9" fillId="6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3" fontId="9" fillId="0" borderId="0" xfId="0" applyNumberFormat="1" applyFont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10" fontId="9" fillId="10" borderId="1" xfId="0" applyNumberFormat="1" applyFont="1" applyFill="1" applyBorder="1" applyAlignment="1">
      <alignment horizontal="center" vertical="center"/>
    </xf>
    <xf numFmtId="0" fontId="15" fillId="11" borderId="1" xfId="0" applyFont="1" applyFill="1" applyBorder="1"/>
    <xf numFmtId="167" fontId="9" fillId="6" borderId="1" xfId="0" applyNumberFormat="1" applyFont="1" applyFill="1" applyBorder="1" applyAlignment="1">
      <alignment horizontal="center" vertical="center"/>
    </xf>
    <xf numFmtId="167" fontId="9" fillId="5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1" fontId="22" fillId="14" borderId="1" xfId="0" applyNumberFormat="1" applyFont="1" applyFill="1" applyBorder="1" applyAlignment="1">
      <alignment horizontal="center" vertical="center"/>
    </xf>
    <xf numFmtId="167" fontId="22" fillId="14" borderId="1" xfId="0" applyNumberFormat="1" applyFont="1" applyFill="1" applyBorder="1" applyAlignment="1">
      <alignment horizontal="center" vertical="center"/>
    </xf>
    <xf numFmtId="165" fontId="22" fillId="0" borderId="0" xfId="0" applyNumberFormat="1" applyFon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10" fontId="22" fillId="0" borderId="0" xfId="0" applyNumberFormat="1" applyFont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0" fillId="0" borderId="0" xfId="0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6" fillId="2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10" fillId="3" borderId="2" xfId="0" applyFont="1" applyFill="1" applyBorder="1"/>
    <xf numFmtId="0" fontId="14" fillId="4" borderId="2" xfId="0" applyFont="1" applyFill="1" applyBorder="1"/>
    <xf numFmtId="0" fontId="16" fillId="3" borderId="6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166" fontId="18" fillId="5" borderId="6" xfId="0" applyNumberFormat="1" applyFont="1" applyFill="1" applyBorder="1" applyAlignment="1">
      <alignment horizontal="center" vertical="center"/>
    </xf>
    <xf numFmtId="10" fontId="18" fillId="5" borderId="6" xfId="0" applyNumberFormat="1" applyFont="1" applyFill="1" applyBorder="1" applyAlignment="1">
      <alignment horizontal="center" vertical="center"/>
    </xf>
    <xf numFmtId="0" fontId="18" fillId="5" borderId="6" xfId="0" applyFont="1" applyFill="1" applyBorder="1" applyAlignment="1">
      <alignment horizontal="center" vertical="center"/>
    </xf>
    <xf numFmtId="0" fontId="20" fillId="4" borderId="2" xfId="0" applyFont="1" applyFill="1" applyBorder="1"/>
    <xf numFmtId="0" fontId="23" fillId="2" borderId="2" xfId="0" applyFont="1" applyFill="1" applyBorder="1" applyAlignment="1">
      <alignment horizontal="center" vertical="center"/>
    </xf>
    <xf numFmtId="0" fontId="15" fillId="11" borderId="14" xfId="0" applyFont="1" applyFill="1" applyBorder="1"/>
    <xf numFmtId="0" fontId="15" fillId="15" borderId="13" xfId="0" applyFont="1" applyFill="1" applyBorder="1"/>
    <xf numFmtId="0" fontId="0" fillId="16" borderId="13" xfId="0" applyFill="1" applyBorder="1"/>
    <xf numFmtId="0" fontId="9" fillId="0" borderId="0" xfId="0" applyFont="1" applyAlignment="1">
      <alignment horizontal="center" vertical="center" wrapText="1"/>
    </xf>
    <xf numFmtId="165" fontId="0" fillId="0" borderId="0" xfId="0" applyNumberFormat="1"/>
    <xf numFmtId="0" fontId="0" fillId="0" borderId="0" xfId="0" applyFill="1"/>
    <xf numFmtId="0" fontId="1" fillId="0" borderId="1" xfId="0" applyFont="1" applyFill="1" applyBorder="1"/>
    <xf numFmtId="0" fontId="1" fillId="2" borderId="13" xfId="0" applyFont="1" applyFill="1" applyBorder="1"/>
    <xf numFmtId="2" fontId="15" fillId="0" borderId="0" xfId="0" applyNumberFormat="1" applyFont="1"/>
    <xf numFmtId="0" fontId="9" fillId="0" borderId="1" xfId="0" applyFont="1" applyFill="1" applyBorder="1" applyAlignment="1">
      <alignment horizontal="center" vertical="center"/>
    </xf>
    <xf numFmtId="164" fontId="9" fillId="0" borderId="1" xfId="0" applyNumberFormat="1" applyFont="1" applyFill="1" applyBorder="1" applyAlignment="1">
      <alignment horizontal="center" vertical="center"/>
    </xf>
    <xf numFmtId="165" fontId="9" fillId="0" borderId="1" xfId="0" applyNumberFormat="1" applyFont="1" applyFill="1" applyBorder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164" fontId="9" fillId="17" borderId="1" xfId="0" applyNumberFormat="1" applyFont="1" applyFill="1" applyBorder="1" applyAlignment="1">
      <alignment horizontal="center" vertical="center"/>
    </xf>
    <xf numFmtId="165" fontId="9" fillId="17" borderId="1" xfId="0" applyNumberFormat="1" applyFont="1" applyFill="1" applyBorder="1" applyAlignment="1">
      <alignment horizontal="center" vertical="center"/>
    </xf>
    <xf numFmtId="2" fontId="9" fillId="17" borderId="1" xfId="0" applyNumberFormat="1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164" fontId="9" fillId="18" borderId="1" xfId="0" applyNumberFormat="1" applyFont="1" applyFill="1" applyBorder="1" applyAlignment="1">
      <alignment horizontal="center" vertical="center"/>
    </xf>
    <xf numFmtId="165" fontId="9" fillId="18" borderId="1" xfId="0" applyNumberFormat="1" applyFont="1" applyFill="1" applyBorder="1" applyAlignment="1">
      <alignment horizontal="center" vertical="center"/>
    </xf>
    <xf numFmtId="2" fontId="9" fillId="18" borderId="1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11" fillId="4" borderId="2" xfId="0" applyFont="1" applyFill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11" fillId="13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25" fillId="19" borderId="0" xfId="0" applyFont="1" applyFill="1"/>
    <xf numFmtId="0" fontId="0" fillId="19" borderId="0" xfId="0" applyFill="1"/>
    <xf numFmtId="2" fontId="22" fillId="0" borderId="0" xfId="0" applyNumberFormat="1" applyFont="1" applyAlignment="1">
      <alignment horizontal="center" vertical="center"/>
    </xf>
    <xf numFmtId="0" fontId="22" fillId="0" borderId="0" xfId="0" applyNumberFormat="1" applyFont="1" applyAlignment="1">
      <alignment horizontal="center" vertical="center"/>
    </xf>
    <xf numFmtId="0" fontId="24" fillId="3" borderId="15" xfId="1" applyFill="1" applyBorder="1" applyAlignment="1">
      <alignment horizontal="center" vertical="top"/>
    </xf>
    <xf numFmtId="0" fontId="24" fillId="3" borderId="16" xfId="1" applyFill="1" applyBorder="1" applyAlignment="1">
      <alignment horizontal="center" vertical="top"/>
    </xf>
    <xf numFmtId="0" fontId="24" fillId="3" borderId="17" xfId="1" applyFill="1" applyBorder="1" applyAlignment="1">
      <alignment horizontal="center" vertical="top"/>
    </xf>
    <xf numFmtId="0" fontId="7" fillId="20" borderId="2" xfId="0" applyFont="1" applyFill="1" applyBorder="1" applyAlignment="1">
      <alignment horizontal="center" vertical="center"/>
    </xf>
    <xf numFmtId="0" fontId="2" fillId="19" borderId="3" xfId="0" applyFont="1" applyFill="1" applyBorder="1"/>
    <xf numFmtId="0" fontId="2" fillId="19" borderId="4" xfId="0" applyFont="1" applyFill="1" applyBorder="1"/>
    <xf numFmtId="173" fontId="0" fillId="0" borderId="0" xfId="0" applyNumberFormat="1"/>
    <xf numFmtId="173" fontId="12" fillId="0" borderId="0" xfId="0" applyNumberFormat="1" applyFont="1"/>
    <xf numFmtId="177" fontId="9" fillId="5" borderId="1" xfId="0" applyNumberFormat="1" applyFont="1" applyFill="1" applyBorder="1" applyAlignment="1">
      <alignment horizontal="center" vertical="center"/>
    </xf>
    <xf numFmtId="177" fontId="9" fillId="6" borderId="1" xfId="0" applyNumberFormat="1" applyFont="1" applyFill="1" applyBorder="1" applyAlignment="1">
      <alignment horizontal="center" vertical="center"/>
    </xf>
    <xf numFmtId="167" fontId="15" fillId="0" borderId="0" xfId="0" applyNumberFormat="1" applyFont="1"/>
  </cellXfs>
  <cellStyles count="2">
    <cellStyle name="Hyperlink" xfId="1" builtinId="8"/>
    <cellStyle name="Normal" xfId="0" builtinId="0"/>
  </cellStyles>
  <dxfs count="20">
    <dxf>
      <fill>
        <patternFill>
          <bgColor rgb="FF00B050"/>
        </patternFill>
      </fill>
    </dxf>
    <dxf>
      <fill>
        <patternFill>
          <bgColor rgb="FF29A744"/>
        </patternFill>
      </fill>
    </dxf>
    <dxf>
      <fill>
        <patternFill patternType="solid">
          <fgColor rgb="FFDC3545"/>
          <bgColor rgb="FFDC3545"/>
        </patternFill>
      </fill>
    </dxf>
    <dxf>
      <fill>
        <patternFill patternType="solid">
          <fgColor rgb="FF28A745"/>
          <bgColor rgb="FF28A745"/>
        </patternFill>
      </fill>
    </dxf>
    <dxf>
      <fill>
        <patternFill patternType="solid">
          <fgColor rgb="FFDC3545"/>
          <bgColor rgb="FFDC3545"/>
        </patternFill>
      </fill>
    </dxf>
    <dxf>
      <fill>
        <patternFill patternType="solid">
          <fgColor rgb="FFFFC107"/>
          <bgColor rgb="FFFFC107"/>
        </patternFill>
      </fill>
    </dxf>
    <dxf>
      <fill>
        <patternFill patternType="solid">
          <fgColor rgb="FFFFFFFF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333333"/>
          <bgColor rgb="FF33333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Arial"/>
        <family val="2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EB4023"/>
      <color rgb="FFD79707"/>
      <color rgb="FF29A7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IN" b="1" i="0">
                <a:solidFill>
                  <a:srgbClr val="757575"/>
                </a:solidFill>
                <a:latin typeface="+mn-lt"/>
              </a:rPr>
              <a:t>Supply Chain Performance Radar — Actual vs Target</a:t>
            </a:r>
          </a:p>
        </c:rich>
      </c:tx>
      <c:overlay val="0"/>
    </c:title>
    <c:autoTitleDeleted val="0"/>
    <c:plotArea>
      <c:layout/>
      <c:radarChart>
        <c:radarStyle val="marker"/>
        <c:varyColors val="1"/>
        <c:ser>
          <c:idx val="0"/>
          <c:order val="0"/>
          <c:tx>
            <c:strRef>
              <c:f>'KPI Dashboard'!$M$12</c:f>
              <c:strCache>
                <c:ptCount val="1"/>
                <c:pt idx="0">
                  <c:v>Actual</c:v>
                </c:pt>
              </c:strCache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'KPI Dashboard'!$L$13:$L$18</c:f>
              <c:strCache>
                <c:ptCount val="6"/>
                <c:pt idx="0">
                  <c:v>Turnover</c:v>
                </c:pt>
                <c:pt idx="1">
                  <c:v>OTD</c:v>
                </c:pt>
                <c:pt idx="2">
                  <c:v>Forecast</c:v>
                </c:pt>
                <c:pt idx="3">
                  <c:v>Stockout</c:v>
                </c:pt>
                <c:pt idx="4">
                  <c:v>LeadTime</c:v>
                </c:pt>
                <c:pt idx="5">
                  <c:v>Cost%</c:v>
                </c:pt>
              </c:strCache>
            </c:strRef>
          </c:cat>
          <c:val>
            <c:numRef>
              <c:f>'KPI Dashboard'!$M$13:$M$18</c:f>
              <c:numCache>
                <c:formatCode>General</c:formatCode>
                <c:ptCount val="6"/>
                <c:pt idx="0">
                  <c:v>75</c:v>
                </c:pt>
                <c:pt idx="1">
                  <c:v>82</c:v>
                </c:pt>
                <c:pt idx="2">
                  <c:v>78</c:v>
                </c:pt>
                <c:pt idx="3">
                  <c:v>88</c:v>
                </c:pt>
                <c:pt idx="4">
                  <c:v>65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A9-4FC2-8754-50A88D4F0923}"/>
            </c:ext>
          </c:extLst>
        </c:ser>
        <c:ser>
          <c:idx val="1"/>
          <c:order val="1"/>
          <c:tx>
            <c:strRef>
              <c:f>'KPI Dashboard'!$N$12</c:f>
              <c:strCache>
                <c:ptCount val="1"/>
                <c:pt idx="0">
                  <c:v>Target</c:v>
                </c:pt>
              </c:strCache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'KPI Dashboard'!$L$13:$L$18</c:f>
              <c:strCache>
                <c:ptCount val="6"/>
                <c:pt idx="0">
                  <c:v>Turnover</c:v>
                </c:pt>
                <c:pt idx="1">
                  <c:v>OTD</c:v>
                </c:pt>
                <c:pt idx="2">
                  <c:v>Forecast</c:v>
                </c:pt>
                <c:pt idx="3">
                  <c:v>Stockout</c:v>
                </c:pt>
                <c:pt idx="4">
                  <c:v>LeadTime</c:v>
                </c:pt>
                <c:pt idx="5">
                  <c:v>Cost%</c:v>
                </c:pt>
              </c:strCache>
            </c:strRef>
          </c:cat>
          <c:val>
            <c:numRef>
              <c:f>'KPI Dashboard'!$N$13:$N$18</c:f>
              <c:numCache>
                <c:formatCode>General</c:formatCode>
                <c:ptCount val="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A9-4FC2-8754-50A88D4F0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6175074"/>
        <c:axId val="118221115"/>
      </c:radarChart>
      <c:catAx>
        <c:axId val="10661750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8221115"/>
        <c:crosses val="autoZero"/>
        <c:auto val="1"/>
        <c:lblAlgn val="ctr"/>
        <c:lblOffset val="100"/>
        <c:noMultiLvlLbl val="1"/>
      </c:catAx>
      <c:valAx>
        <c:axId val="1182211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6617507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IN" b="1" i="0">
                <a:solidFill>
                  <a:srgbClr val="757575"/>
                </a:solidFill>
                <a:latin typeface="+mn-lt"/>
              </a:rPr>
              <a:t>Revenue vs Cost — 24 Month Trend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'Cost Analysis'!$F$3</c:f>
              <c:strCache>
                <c:ptCount val="1"/>
                <c:pt idx="0">
                  <c:v>Revenue (₹)</c:v>
                </c:pt>
              </c:strCache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'Cost Analysis'!$A$4:$A$27</c:f>
              <c:strCache>
                <c:ptCount val="24"/>
                <c:pt idx="0">
                  <c:v>Jan-2023</c:v>
                </c:pt>
                <c:pt idx="1">
                  <c:v>Feb-2023</c:v>
                </c:pt>
                <c:pt idx="2">
                  <c:v>Mar-2023</c:v>
                </c:pt>
                <c:pt idx="3">
                  <c:v>Apr-2023</c:v>
                </c:pt>
                <c:pt idx="4">
                  <c:v>May-2023</c:v>
                </c:pt>
                <c:pt idx="5">
                  <c:v>Jun-2023</c:v>
                </c:pt>
                <c:pt idx="6">
                  <c:v>Jul-2023</c:v>
                </c:pt>
                <c:pt idx="7">
                  <c:v>Aug-2023</c:v>
                </c:pt>
                <c:pt idx="8">
                  <c:v>Sep-2023</c:v>
                </c:pt>
                <c:pt idx="9">
                  <c:v>Oct-2023</c:v>
                </c:pt>
                <c:pt idx="10">
                  <c:v>Nov-2023</c:v>
                </c:pt>
                <c:pt idx="11">
                  <c:v>Dec-2023</c:v>
                </c:pt>
                <c:pt idx="12">
                  <c:v>Jan-2024</c:v>
                </c:pt>
                <c:pt idx="13">
                  <c:v>Feb-2024</c:v>
                </c:pt>
                <c:pt idx="14">
                  <c:v>Mar-2024</c:v>
                </c:pt>
                <c:pt idx="15">
                  <c:v>Apr-2024</c:v>
                </c:pt>
                <c:pt idx="16">
                  <c:v>May-2024</c:v>
                </c:pt>
                <c:pt idx="17">
                  <c:v>Jun-2024</c:v>
                </c:pt>
                <c:pt idx="18">
                  <c:v>Jul-2024</c:v>
                </c:pt>
                <c:pt idx="19">
                  <c:v>Aug-2024</c:v>
                </c:pt>
                <c:pt idx="20">
                  <c:v>Sep-2024</c:v>
                </c:pt>
                <c:pt idx="21">
                  <c:v>Oct-2024</c:v>
                </c:pt>
                <c:pt idx="22">
                  <c:v>Nov-2024</c:v>
                </c:pt>
                <c:pt idx="23">
                  <c:v>Dec-2024</c:v>
                </c:pt>
              </c:strCache>
            </c:strRef>
          </c:cat>
          <c:val>
            <c:numRef>
              <c:f>'Cost Analysis'!$F$4:$F$27</c:f>
              <c:numCache>
                <c:formatCode>\₹###,##0</c:formatCode>
                <c:ptCount val="24"/>
                <c:pt idx="0">
                  <c:v>19305036.920000002</c:v>
                </c:pt>
                <c:pt idx="1">
                  <c:v>11445542.439999999</c:v>
                </c:pt>
                <c:pt idx="2">
                  <c:v>13277762.15</c:v>
                </c:pt>
                <c:pt idx="3">
                  <c:v>14315175.35</c:v>
                </c:pt>
                <c:pt idx="4">
                  <c:v>3598995.65</c:v>
                </c:pt>
                <c:pt idx="5">
                  <c:v>20628042.09</c:v>
                </c:pt>
                <c:pt idx="6">
                  <c:v>22295628.530000001</c:v>
                </c:pt>
                <c:pt idx="7">
                  <c:v>20407153.780000001</c:v>
                </c:pt>
                <c:pt idx="8">
                  <c:v>42227560.549999997</c:v>
                </c:pt>
                <c:pt idx="9">
                  <c:v>11355771.32</c:v>
                </c:pt>
                <c:pt idx="10">
                  <c:v>14788407.050000001</c:v>
                </c:pt>
                <c:pt idx="11">
                  <c:v>4361846</c:v>
                </c:pt>
                <c:pt idx="12">
                  <c:v>7458522.0700000003</c:v>
                </c:pt>
                <c:pt idx="13">
                  <c:v>8282226.6600000001</c:v>
                </c:pt>
                <c:pt idx="14">
                  <c:v>11910437.83</c:v>
                </c:pt>
                <c:pt idx="15">
                  <c:v>10554168.609999999</c:v>
                </c:pt>
                <c:pt idx="16">
                  <c:v>10269457.76</c:v>
                </c:pt>
                <c:pt idx="17">
                  <c:v>19307240.010000002</c:v>
                </c:pt>
                <c:pt idx="18">
                  <c:v>11754111.58</c:v>
                </c:pt>
                <c:pt idx="19">
                  <c:v>3571284.39</c:v>
                </c:pt>
                <c:pt idx="20">
                  <c:v>21461616.73</c:v>
                </c:pt>
                <c:pt idx="21">
                  <c:v>25808437.600000001</c:v>
                </c:pt>
                <c:pt idx="22">
                  <c:v>11778331.609999999</c:v>
                </c:pt>
                <c:pt idx="23">
                  <c:v>9322542.6500000004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8C-4C83-A835-CFBFD6216F3E}"/>
            </c:ext>
          </c:extLst>
        </c:ser>
        <c:ser>
          <c:idx val="1"/>
          <c:order val="1"/>
          <c:tx>
            <c:strRef>
              <c:f>'Cost Analysis'!$E$3</c:f>
              <c:strCache>
                <c:ptCount val="1"/>
                <c:pt idx="0">
                  <c:v>Total Distribution Cost (₹)</c:v>
                </c:pt>
              </c:strCache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'Cost Analysis'!$A$4:$A$27</c:f>
              <c:strCache>
                <c:ptCount val="24"/>
                <c:pt idx="0">
                  <c:v>Jan-2023</c:v>
                </c:pt>
                <c:pt idx="1">
                  <c:v>Feb-2023</c:v>
                </c:pt>
                <c:pt idx="2">
                  <c:v>Mar-2023</c:v>
                </c:pt>
                <c:pt idx="3">
                  <c:v>Apr-2023</c:v>
                </c:pt>
                <c:pt idx="4">
                  <c:v>May-2023</c:v>
                </c:pt>
                <c:pt idx="5">
                  <c:v>Jun-2023</c:v>
                </c:pt>
                <c:pt idx="6">
                  <c:v>Jul-2023</c:v>
                </c:pt>
                <c:pt idx="7">
                  <c:v>Aug-2023</c:v>
                </c:pt>
                <c:pt idx="8">
                  <c:v>Sep-2023</c:v>
                </c:pt>
                <c:pt idx="9">
                  <c:v>Oct-2023</c:v>
                </c:pt>
                <c:pt idx="10">
                  <c:v>Nov-2023</c:v>
                </c:pt>
                <c:pt idx="11">
                  <c:v>Dec-2023</c:v>
                </c:pt>
                <c:pt idx="12">
                  <c:v>Jan-2024</c:v>
                </c:pt>
                <c:pt idx="13">
                  <c:v>Feb-2024</c:v>
                </c:pt>
                <c:pt idx="14">
                  <c:v>Mar-2024</c:v>
                </c:pt>
                <c:pt idx="15">
                  <c:v>Apr-2024</c:v>
                </c:pt>
                <c:pt idx="16">
                  <c:v>May-2024</c:v>
                </c:pt>
                <c:pt idx="17">
                  <c:v>Jun-2024</c:v>
                </c:pt>
                <c:pt idx="18">
                  <c:v>Jul-2024</c:v>
                </c:pt>
                <c:pt idx="19">
                  <c:v>Aug-2024</c:v>
                </c:pt>
                <c:pt idx="20">
                  <c:v>Sep-2024</c:v>
                </c:pt>
                <c:pt idx="21">
                  <c:v>Oct-2024</c:v>
                </c:pt>
                <c:pt idx="22">
                  <c:v>Nov-2024</c:v>
                </c:pt>
                <c:pt idx="23">
                  <c:v>Dec-2024</c:v>
                </c:pt>
              </c:strCache>
            </c:strRef>
          </c:cat>
          <c:val>
            <c:numRef>
              <c:f>'Cost Analysis'!$E$4:$E$27</c:f>
              <c:numCache>
                <c:formatCode>\₹###,##0.00</c:formatCode>
                <c:ptCount val="24"/>
                <c:pt idx="0">
                  <c:v>5446264</c:v>
                </c:pt>
                <c:pt idx="1">
                  <c:v>1881388</c:v>
                </c:pt>
                <c:pt idx="2">
                  <c:v>7223392</c:v>
                </c:pt>
                <c:pt idx="3">
                  <c:v>4839445.5</c:v>
                </c:pt>
                <c:pt idx="4">
                  <c:v>1767274</c:v>
                </c:pt>
                <c:pt idx="5">
                  <c:v>2771900</c:v>
                </c:pt>
                <c:pt idx="6">
                  <c:v>6741099.3700000001</c:v>
                </c:pt>
                <c:pt idx="7">
                  <c:v>5096362</c:v>
                </c:pt>
                <c:pt idx="8">
                  <c:v>8315618.6799999997</c:v>
                </c:pt>
                <c:pt idx="9">
                  <c:v>2643119</c:v>
                </c:pt>
                <c:pt idx="10">
                  <c:v>3748446.75</c:v>
                </c:pt>
                <c:pt idx="11">
                  <c:v>1652708</c:v>
                </c:pt>
                <c:pt idx="12">
                  <c:v>3113324</c:v>
                </c:pt>
                <c:pt idx="13">
                  <c:v>4014119.41</c:v>
                </c:pt>
                <c:pt idx="14">
                  <c:v>3150892</c:v>
                </c:pt>
                <c:pt idx="15">
                  <c:v>4472814.8600000003</c:v>
                </c:pt>
                <c:pt idx="16">
                  <c:v>4452121.55</c:v>
                </c:pt>
                <c:pt idx="17">
                  <c:v>5714071.5</c:v>
                </c:pt>
                <c:pt idx="18">
                  <c:v>3143950</c:v>
                </c:pt>
                <c:pt idx="19">
                  <c:v>2146916.8199999998</c:v>
                </c:pt>
                <c:pt idx="20">
                  <c:v>4613204.5</c:v>
                </c:pt>
                <c:pt idx="21">
                  <c:v>5102755</c:v>
                </c:pt>
                <c:pt idx="22">
                  <c:v>2693139</c:v>
                </c:pt>
                <c:pt idx="23">
                  <c:v>3218194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8C-4C83-A835-CFBFD6216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3102455"/>
        <c:axId val="1048343448"/>
      </c:lineChart>
      <c:catAx>
        <c:axId val="9931024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48343448"/>
        <c:crosses val="autoZero"/>
        <c:auto val="1"/>
        <c:lblAlgn val="ctr"/>
        <c:lblOffset val="100"/>
        <c:noMultiLvlLbl val="1"/>
      </c:catAx>
      <c:valAx>
        <c:axId val="10483434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\₹##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9310245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IN" b="1" i="0">
                <a:solidFill>
                  <a:srgbClr val="757575"/>
                </a:solidFill>
                <a:latin typeface="+mn-lt"/>
              </a:rPr>
              <a:t>OTD %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'Logistics &amp; Delivery'!$F$3</c:f>
              <c:strCache>
                <c:ptCount val="1"/>
                <c:pt idx="0">
                  <c:v>OTD %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'Logistics &amp; Delivery'!$A$4:$A$8</c:f>
              <c:strCache>
                <c:ptCount val="5"/>
                <c:pt idx="0">
                  <c:v>West</c:v>
                </c:pt>
                <c:pt idx="1">
                  <c:v>West</c:v>
                </c:pt>
                <c:pt idx="2">
                  <c:v>West</c:v>
                </c:pt>
                <c:pt idx="3">
                  <c:v>West</c:v>
                </c:pt>
                <c:pt idx="4">
                  <c:v>South</c:v>
                </c:pt>
              </c:strCache>
            </c:strRef>
          </c:cat>
          <c:val>
            <c:numRef>
              <c:f>'Logistics &amp; Delivery'!$F$4:$F$8</c:f>
              <c:numCache>
                <c:formatCode>0.00%</c:formatCode>
                <c:ptCount val="5"/>
                <c:pt idx="0">
                  <c:v>0.20143884892086331</c:v>
                </c:pt>
                <c:pt idx="1">
                  <c:v>0.21428571428571427</c:v>
                </c:pt>
                <c:pt idx="2">
                  <c:v>0.19718309859154928</c:v>
                </c:pt>
                <c:pt idx="3">
                  <c:v>0.16666666666666666</c:v>
                </c:pt>
                <c:pt idx="4">
                  <c:v>0.27102803738317754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940-49CE-AC3A-E45D14A9F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4777317"/>
        <c:axId val="1871753403"/>
      </c:barChart>
      <c:catAx>
        <c:axId val="16547773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71753403"/>
        <c:crosses val="autoZero"/>
        <c:auto val="1"/>
        <c:lblAlgn val="ctr"/>
        <c:lblOffset val="100"/>
        <c:noMultiLvlLbl val="1"/>
      </c:catAx>
      <c:valAx>
        <c:axId val="18717534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5477731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IN" b="1" i="0">
                <a:solidFill>
                  <a:srgbClr val="757575"/>
                </a:solidFill>
                <a:latin typeface="+mn-lt"/>
              </a:rPr>
              <a:t>Inventory Turnover by Product — ABC Classified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'Inventory Analysis'!$I$3</c:f>
              <c:strCache>
                <c:ptCount val="1"/>
                <c:pt idx="0">
                  <c:v>Inventory Turnover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'Inventory Analysis'!$B$4:$B$97</c:f>
              <c:strCache>
                <c:ptCount val="94"/>
                <c:pt idx="0">
                  <c:v>Hydraulic Pump</c:v>
                </c:pt>
                <c:pt idx="1">
                  <c:v>Hydraulic Pump</c:v>
                </c:pt>
                <c:pt idx="2">
                  <c:v>Gearbox Assembly</c:v>
                </c:pt>
                <c:pt idx="3">
                  <c:v>Pneumatic Valve</c:v>
                </c:pt>
                <c:pt idx="4">
                  <c:v>Gearbox Assembly</c:v>
                </c:pt>
                <c:pt idx="5">
                  <c:v>Hydraulic Pump</c:v>
                </c:pt>
                <c:pt idx="6">
                  <c:v>Gearbox Assembly</c:v>
                </c:pt>
                <c:pt idx="7">
                  <c:v>Hydraulic Pump</c:v>
                </c:pt>
                <c:pt idx="8">
                  <c:v>Pneumatic Valve</c:v>
                </c:pt>
                <c:pt idx="9">
                  <c:v>Hydraulic Pump</c:v>
                </c:pt>
                <c:pt idx="10">
                  <c:v>Cylinder Seal Kit</c:v>
                </c:pt>
                <c:pt idx="11">
                  <c:v>Safety Boots</c:v>
                </c:pt>
                <c:pt idx="12">
                  <c:v>Cable Harness</c:v>
                </c:pt>
                <c:pt idx="13">
                  <c:v>Cable Harness</c:v>
                </c:pt>
                <c:pt idx="14">
                  <c:v>Gearbox Assembly</c:v>
                </c:pt>
                <c:pt idx="15">
                  <c:v>Pneumatic Valve</c:v>
                </c:pt>
                <c:pt idx="16">
                  <c:v>Gearbox Assembly</c:v>
                </c:pt>
                <c:pt idx="17">
                  <c:v>Chain Sprocket</c:v>
                </c:pt>
                <c:pt idx="18">
                  <c:v>Safety Boots</c:v>
                </c:pt>
                <c:pt idx="19">
                  <c:v>Cable Harness</c:v>
                </c:pt>
                <c:pt idx="20">
                  <c:v>Cylinder Seal Kit</c:v>
                </c:pt>
                <c:pt idx="21">
                  <c:v>Cable Harness</c:v>
                </c:pt>
                <c:pt idx="22">
                  <c:v>Electrical Relay</c:v>
                </c:pt>
                <c:pt idx="23">
                  <c:v>Ball Bearing SKF</c:v>
                </c:pt>
                <c:pt idx="24">
                  <c:v>Hydraulic Hose</c:v>
                </c:pt>
                <c:pt idx="25">
                  <c:v>Chain Sprocket</c:v>
                </c:pt>
                <c:pt idx="26">
                  <c:v>Chain Sprocket</c:v>
                </c:pt>
                <c:pt idx="27">
                  <c:v>Hydraulic Hose</c:v>
                </c:pt>
                <c:pt idx="28">
                  <c:v>Cylinder Seal Kit</c:v>
                </c:pt>
                <c:pt idx="29">
                  <c:v>Hydraulic Hose</c:v>
                </c:pt>
                <c:pt idx="30">
                  <c:v>Safety Boots</c:v>
                </c:pt>
                <c:pt idx="31">
                  <c:v>Pressure Gauge</c:v>
                </c:pt>
                <c:pt idx="32">
                  <c:v>Electrical Relay</c:v>
                </c:pt>
                <c:pt idx="33">
                  <c:v>Oil Filter</c:v>
                </c:pt>
                <c:pt idx="34">
                  <c:v>Hydraulic Hose</c:v>
                </c:pt>
                <c:pt idx="35">
                  <c:v>Cylinder Seal Kit</c:v>
                </c:pt>
                <c:pt idx="36">
                  <c:v>Cylinder Seal Kit</c:v>
                </c:pt>
                <c:pt idx="37">
                  <c:v>Ball Bearing SKF</c:v>
                </c:pt>
                <c:pt idx="38">
                  <c:v>Ball Bearing SKF</c:v>
                </c:pt>
                <c:pt idx="39">
                  <c:v>Ball Bearing SKF</c:v>
                </c:pt>
                <c:pt idx="40">
                  <c:v>Safety Helmet</c:v>
                </c:pt>
                <c:pt idx="41">
                  <c:v>Hydraulic Hose</c:v>
                </c:pt>
                <c:pt idx="42">
                  <c:v>Electrical Relay</c:v>
                </c:pt>
                <c:pt idx="43">
                  <c:v>Safety Helmet</c:v>
                </c:pt>
                <c:pt idx="44">
                  <c:v>Pressure Gauge</c:v>
                </c:pt>
                <c:pt idx="45">
                  <c:v>Pressure Gauge</c:v>
                </c:pt>
                <c:pt idx="46">
                  <c:v>Safety Helmet</c:v>
                </c:pt>
                <c:pt idx="47">
                  <c:v>Oil Filter</c:v>
                </c:pt>
                <c:pt idx="48">
                  <c:v>Safety Helmet</c:v>
                </c:pt>
                <c:pt idx="49">
                  <c:v>LED Work Light</c:v>
                </c:pt>
                <c:pt idx="50">
                  <c:v>Pressure Gauge</c:v>
                </c:pt>
                <c:pt idx="51">
                  <c:v>Safety Boots</c:v>
                </c:pt>
                <c:pt idx="52">
                  <c:v>Safety Boots</c:v>
                </c:pt>
                <c:pt idx="53">
                  <c:v>LED Work Light</c:v>
                </c:pt>
                <c:pt idx="54">
                  <c:v>Chain Sprocket</c:v>
                </c:pt>
                <c:pt idx="55">
                  <c:v>Oil Filter</c:v>
                </c:pt>
                <c:pt idx="56">
                  <c:v>V-Belt Set</c:v>
                </c:pt>
                <c:pt idx="57">
                  <c:v>Safety Helmet</c:v>
                </c:pt>
                <c:pt idx="58">
                  <c:v>Pressure Gauge</c:v>
                </c:pt>
                <c:pt idx="59">
                  <c:v>V-Belt Set</c:v>
                </c:pt>
                <c:pt idx="60">
                  <c:v>Oil Filter</c:v>
                </c:pt>
                <c:pt idx="61">
                  <c:v>LED Work Light</c:v>
                </c:pt>
                <c:pt idx="62">
                  <c:v>Welding Gloves</c:v>
                </c:pt>
                <c:pt idx="63">
                  <c:v>Welding Gloves</c:v>
                </c:pt>
                <c:pt idx="64">
                  <c:v>Pneumatic Valve</c:v>
                </c:pt>
                <c:pt idx="65">
                  <c:v>V-Belt Set</c:v>
                </c:pt>
                <c:pt idx="66">
                  <c:v>Welding Gloves</c:v>
                </c:pt>
                <c:pt idx="67">
                  <c:v>Electrical Relay</c:v>
                </c:pt>
                <c:pt idx="68">
                  <c:v>Welding Gloves</c:v>
                </c:pt>
                <c:pt idx="69">
                  <c:v>V-Belt Set</c:v>
                </c:pt>
                <c:pt idx="70">
                  <c:v>Ball Bearing SKF</c:v>
                </c:pt>
                <c:pt idx="71">
                  <c:v>Oil Filter</c:v>
                </c:pt>
                <c:pt idx="72">
                  <c:v>Welding Gloves</c:v>
                </c:pt>
                <c:pt idx="73">
                  <c:v>Dust Mask N95</c:v>
                </c:pt>
                <c:pt idx="74">
                  <c:v>V-Belt Set</c:v>
                </c:pt>
                <c:pt idx="75">
                  <c:v>Rivet Set</c:v>
                </c:pt>
                <c:pt idx="76">
                  <c:v>Dust Mask N95</c:v>
                </c:pt>
                <c:pt idx="77">
                  <c:v>Rivet Set</c:v>
                </c:pt>
                <c:pt idx="78">
                  <c:v>Dust Mask N95</c:v>
                </c:pt>
                <c:pt idx="79">
                  <c:v>Rivet Set</c:v>
                </c:pt>
                <c:pt idx="80">
                  <c:v>Rivet Set</c:v>
                </c:pt>
                <c:pt idx="81">
                  <c:v>Fastener Bolt M16</c:v>
                </c:pt>
                <c:pt idx="82">
                  <c:v>Fastener Bolt M16</c:v>
                </c:pt>
                <c:pt idx="83">
                  <c:v>Fastener Nut M16</c:v>
                </c:pt>
                <c:pt idx="84">
                  <c:v>Rivet Set</c:v>
                </c:pt>
                <c:pt idx="85">
                  <c:v>Dust Mask N95</c:v>
                </c:pt>
                <c:pt idx="86">
                  <c:v>Fastener Nut M16</c:v>
                </c:pt>
                <c:pt idx="87">
                  <c:v>Fastener Nut M16</c:v>
                </c:pt>
                <c:pt idx="88">
                  <c:v>Fastener Nut M16</c:v>
                </c:pt>
                <c:pt idx="89">
                  <c:v>Fastener Bolt M16</c:v>
                </c:pt>
                <c:pt idx="90">
                  <c:v>Fastener Bolt M16</c:v>
                </c:pt>
                <c:pt idx="91">
                  <c:v>Fastener Bolt M16</c:v>
                </c:pt>
                <c:pt idx="92">
                  <c:v>Fastener Nut M16</c:v>
                </c:pt>
                <c:pt idx="93">
                  <c:v>Dust Mask N95</c:v>
                </c:pt>
              </c:strCache>
            </c:strRef>
          </c:cat>
          <c:val>
            <c:numRef>
              <c:f>'Inventory Analysis'!$I$4:$I$97</c:f>
              <c:numCache>
                <c:formatCode>0.00</c:formatCode>
                <c:ptCount val="94"/>
                <c:pt idx="0">
                  <c:v>0.93917087286711365</c:v>
                </c:pt>
                <c:pt idx="1">
                  <c:v>14.638735917898359</c:v>
                </c:pt>
                <c:pt idx="2">
                  <c:v>23.324450196633862</c:v>
                </c:pt>
                <c:pt idx="3">
                  <c:v>135.59967115570666</c:v>
                </c:pt>
                <c:pt idx="4">
                  <c:v>24.507573968708762</c:v>
                </c:pt>
                <c:pt idx="5">
                  <c:v>122.02132354468684</c:v>
                </c:pt>
                <c:pt idx="6">
                  <c:v>0.75759322441543708</c:v>
                </c:pt>
                <c:pt idx="7">
                  <c:v>9.1530216276028575</c:v>
                </c:pt>
                <c:pt idx="8">
                  <c:v>8.9339093397538871</c:v>
                </c:pt>
                <c:pt idx="9">
                  <c:v>2.8354681386554903</c:v>
                </c:pt>
                <c:pt idx="10">
                  <c:v>1.9336385645077285</c:v>
                </c:pt>
                <c:pt idx="11">
                  <c:v>1.4882253436827115</c:v>
                </c:pt>
                <c:pt idx="12">
                  <c:v>5.7154644745499299</c:v>
                </c:pt>
                <c:pt idx="13">
                  <c:v>5.0574334426220382</c:v>
                </c:pt>
                <c:pt idx="14">
                  <c:v>363.76213774934132</c:v>
                </c:pt>
                <c:pt idx="15">
                  <c:v>2.1662065177005649</c:v>
                </c:pt>
                <c:pt idx="16">
                  <c:v>0.76182292210400993</c:v>
                </c:pt>
                <c:pt idx="17">
                  <c:v>36.914572230945375</c:v>
                </c:pt>
                <c:pt idx="18">
                  <c:v>1.7306085145764387</c:v>
                </c:pt>
                <c:pt idx="19">
                  <c:v>6.5415596098665985</c:v>
                </c:pt>
                <c:pt idx="20">
                  <c:v>0.53251644247263041</c:v>
                </c:pt>
                <c:pt idx="21">
                  <c:v>11.673099153262198</c:v>
                </c:pt>
                <c:pt idx="22">
                  <c:v>0.34493932658750404</c:v>
                </c:pt>
                <c:pt idx="23">
                  <c:v>69.268673110515891</c:v>
                </c:pt>
                <c:pt idx="24">
                  <c:v>62.055037450916096</c:v>
                </c:pt>
                <c:pt idx="25">
                  <c:v>1.077684615301671</c:v>
                </c:pt>
                <c:pt idx="26">
                  <c:v>0.41825423383004168</c:v>
                </c:pt>
                <c:pt idx="27">
                  <c:v>0.26314523879903101</c:v>
                </c:pt>
                <c:pt idx="28">
                  <c:v>3.6627380466722812</c:v>
                </c:pt>
                <c:pt idx="29">
                  <c:v>6.1664177131068554</c:v>
                </c:pt>
                <c:pt idx="30">
                  <c:v>6.6565996350592815</c:v>
                </c:pt>
                <c:pt idx="31">
                  <c:v>1.5257312278364128</c:v>
                </c:pt>
                <c:pt idx="32">
                  <c:v>0.63623159766399762</c:v>
                </c:pt>
                <c:pt idx="33">
                  <c:v>0.78210135866537256</c:v>
                </c:pt>
                <c:pt idx="34">
                  <c:v>1.1176545188665998</c:v>
                </c:pt>
                <c:pt idx="35">
                  <c:v>0.44690716130772973</c:v>
                </c:pt>
                <c:pt idx="36">
                  <c:v>7.3249210045078783</c:v>
                </c:pt>
                <c:pt idx="37">
                  <c:v>40.530845926156722</c:v>
                </c:pt>
                <c:pt idx="38">
                  <c:v>0.11015257247216449</c:v>
                </c:pt>
                <c:pt idx="39">
                  <c:v>1.8822584192979981</c:v>
                </c:pt>
                <c:pt idx="40">
                  <c:v>0.63800879681613243</c:v>
                </c:pt>
                <c:pt idx="41">
                  <c:v>0.6325029841052765</c:v>
                </c:pt>
                <c:pt idx="42">
                  <c:v>0.66841741247653597</c:v>
                </c:pt>
                <c:pt idx="43">
                  <c:v>0.21213371434451142</c:v>
                </c:pt>
                <c:pt idx="44">
                  <c:v>1.9552244992645074</c:v>
                </c:pt>
                <c:pt idx="45">
                  <c:v>1.2988101221589774</c:v>
                </c:pt>
                <c:pt idx="46">
                  <c:v>3.7793357591806664</c:v>
                </c:pt>
                <c:pt idx="47">
                  <c:v>28.836785292629447</c:v>
                </c:pt>
                <c:pt idx="48">
                  <c:v>0.26298534638699128</c:v>
                </c:pt>
                <c:pt idx="49">
                  <c:v>3.4994324404032882</c:v>
                </c:pt>
                <c:pt idx="50">
                  <c:v>0.23647774824922294</c:v>
                </c:pt>
                <c:pt idx="51">
                  <c:v>0.25957030864977032</c:v>
                </c:pt>
                <c:pt idx="52">
                  <c:v>26.48192260279983</c:v>
                </c:pt>
                <c:pt idx="53">
                  <c:v>0.53830023386002168</c:v>
                </c:pt>
                <c:pt idx="54">
                  <c:v>121.63418302637427</c:v>
                </c:pt>
                <c:pt idx="55">
                  <c:v>1.2325548682653427</c:v>
                </c:pt>
                <c:pt idx="56">
                  <c:v>1.7435543637118565</c:v>
                </c:pt>
                <c:pt idx="57">
                  <c:v>22.461335868158748</c:v>
                </c:pt>
                <c:pt idx="58">
                  <c:v>1.3750885773186989</c:v>
                </c:pt>
                <c:pt idx="59">
                  <c:v>30.736267346370777</c:v>
                </c:pt>
                <c:pt idx="60">
                  <c:v>0.18230305302209013</c:v>
                </c:pt>
                <c:pt idx="61">
                  <c:v>0.34097647312910628</c:v>
                </c:pt>
                <c:pt idx="62">
                  <c:v>5.7081420066673945E-2</c:v>
                </c:pt>
                <c:pt idx="63">
                  <c:v>0.27031738060286309</c:v>
                </c:pt>
                <c:pt idx="64">
                  <c:v>0.98658115106102473</c:v>
                </c:pt>
                <c:pt idx="65">
                  <c:v>0.28539173675157642</c:v>
                </c:pt>
                <c:pt idx="66">
                  <c:v>0.48386297118800387</c:v>
                </c:pt>
                <c:pt idx="67">
                  <c:v>0.20569860478443891</c:v>
                </c:pt>
                <c:pt idx="68">
                  <c:v>0.28433543887635759</c:v>
                </c:pt>
                <c:pt idx="69">
                  <c:v>0.13116556967059587</c:v>
                </c:pt>
                <c:pt idx="70">
                  <c:v>1.5164094726673243</c:v>
                </c:pt>
                <c:pt idx="71">
                  <c:v>0.69267781010784835</c:v>
                </c:pt>
                <c:pt idx="72">
                  <c:v>0.98312063803738792</c:v>
                </c:pt>
                <c:pt idx="73">
                  <c:v>1.6658768650910249</c:v>
                </c:pt>
                <c:pt idx="74">
                  <c:v>0.17831523865610302</c:v>
                </c:pt>
                <c:pt idx="75">
                  <c:v>0.29382045281856545</c:v>
                </c:pt>
                <c:pt idx="76">
                  <c:v>6.2219191476687863E-2</c:v>
                </c:pt>
                <c:pt idx="77">
                  <c:v>4.335627918271248</c:v>
                </c:pt>
                <c:pt idx="78">
                  <c:v>6.3677081330138288E-2</c:v>
                </c:pt>
                <c:pt idx="79">
                  <c:v>0.10987802762229271</c:v>
                </c:pt>
                <c:pt idx="80">
                  <c:v>1.3693333099191437E-2</c:v>
                </c:pt>
                <c:pt idx="81">
                  <c:v>0.15807438361862716</c:v>
                </c:pt>
                <c:pt idx="82">
                  <c:v>3.4594050593656278E-2</c:v>
                </c:pt>
                <c:pt idx="83">
                  <c:v>8.4747230736502716E-3</c:v>
                </c:pt>
                <c:pt idx="84">
                  <c:v>2.2038900294701149E-2</c:v>
                </c:pt>
                <c:pt idx="85">
                  <c:v>2.0865620664219649E-2</c:v>
                </c:pt>
                <c:pt idx="86">
                  <c:v>5.1268820334625403E-2</c:v>
                </c:pt>
                <c:pt idx="87">
                  <c:v>1.7314287035307331E-2</c:v>
                </c:pt>
                <c:pt idx="88">
                  <c:v>3.0147924413462233E-2</c:v>
                </c:pt>
                <c:pt idx="89">
                  <c:v>5.6555120375233817E-2</c:v>
                </c:pt>
                <c:pt idx="90">
                  <c:v>7.5603716820029282E-2</c:v>
                </c:pt>
                <c:pt idx="91">
                  <c:v>1.3737487608393011</c:v>
                </c:pt>
                <c:pt idx="92">
                  <c:v>2.006443543367477E-3</c:v>
                </c:pt>
                <c:pt idx="93">
                  <c:v>7.026274610726216E-3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796-4CFA-AA70-7C7E847F8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0029212"/>
        <c:axId val="1671508392"/>
      </c:barChart>
      <c:catAx>
        <c:axId val="51002921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1" i="0">
                    <a:solidFill>
                      <a:srgbClr val="000000"/>
                    </a:solidFill>
                    <a:latin typeface="+mn-lt"/>
                  </a:rPr>
                  <a:t>Inventory Turnover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71508392"/>
        <c:crosses val="autoZero"/>
        <c:auto val="1"/>
        <c:lblAlgn val="ctr"/>
        <c:lblOffset val="100"/>
        <c:noMultiLvlLbl val="1"/>
      </c:catAx>
      <c:valAx>
        <c:axId val="167150839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1" i="0">
                    <a:solidFill>
                      <a:srgbClr val="000000"/>
                    </a:solidFill>
                    <a:latin typeface="+mn-lt"/>
                  </a:rPr>
                  <a:t>Product Name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10029212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ABC CLASSIFICATION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'Inventory Analysis'!$B$101</c:f>
              <c:strCache>
                <c:ptCount val="1"/>
                <c:pt idx="0">
                  <c:v>Item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'Inventory Analysis'!$A$102:$A$104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'Inventory Analysis'!$B$102:$B$104</c:f>
              <c:numCache>
                <c:formatCode>General</c:formatCode>
                <c:ptCount val="3"/>
                <c:pt idx="0">
                  <c:v>2</c:v>
                </c:pt>
                <c:pt idx="1">
                  <c:v>9</c:v>
                </c:pt>
                <c:pt idx="2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BC-41A8-92DA-8EE0BB767903}"/>
            </c:ext>
          </c:extLst>
        </c:ser>
        <c:ser>
          <c:idx val="1"/>
          <c:order val="1"/>
          <c:tx>
            <c:strRef>
              <c:f>'Inventory Analysis'!$C$101</c:f>
              <c:strCache>
                <c:ptCount val="1"/>
                <c:pt idx="0">
                  <c:v>% of Total COGS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'Inventory Analysis'!$A$102:$A$104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'Inventory Analysis'!$C$102:$C$104</c:f>
              <c:numCache>
                <c:formatCode>0.00%</c:formatCode>
                <c:ptCount val="3"/>
                <c:pt idx="0">
                  <c:v>2.1276595744680851E-2</c:v>
                </c:pt>
                <c:pt idx="1">
                  <c:v>9.5744680851063829E-2</c:v>
                </c:pt>
                <c:pt idx="2">
                  <c:v>0.88297872340425532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BC-41A8-92DA-8EE0BB767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2612647164587436"/>
          <c:y val="0.89546415456885986"/>
          <c:w val="0.3218025808772999"/>
          <c:h val="7.7116748857987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IN" b="1" i="0">
                <a:solidFill>
                  <a:srgbClr val="757575"/>
                </a:solidFill>
                <a:latin typeface="+mn-lt"/>
              </a:rPr>
              <a:t>Monthly Demand Trend vs Moving Average Forecasts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'Demand Forecasting'!$B$3</c:f>
              <c:strCache>
                <c:ptCount val="1"/>
                <c:pt idx="0">
                  <c:v>Actual Demand (Units)</c:v>
                </c:pt>
              </c:strCache>
            </c:strRef>
          </c:tx>
          <c:spPr>
            <a:ln w="28575" cmpd="sng">
              <a:solidFill>
                <a:srgbClr val="4F81BD"/>
              </a:solidFill>
              <a:prstDash val="solid"/>
            </a:ln>
          </c:spPr>
          <c:marker>
            <c:symbol val="none"/>
          </c:marker>
          <c:cat>
            <c:strRef>
              <c:f>'Demand Forecasting'!$A$4:$A$27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'Demand Forecasting'!$B$4:$B$27</c:f>
              <c:numCache>
                <c:formatCode>General</c:formatCode>
                <c:ptCount val="24"/>
                <c:pt idx="0">
                  <c:v>9261</c:v>
                </c:pt>
                <c:pt idx="1">
                  <c:v>4533</c:v>
                </c:pt>
                <c:pt idx="2">
                  <c:v>5729</c:v>
                </c:pt>
                <c:pt idx="3">
                  <c:v>5359</c:v>
                </c:pt>
                <c:pt idx="4">
                  <c:v>4198</c:v>
                </c:pt>
                <c:pt idx="5">
                  <c:v>8253</c:v>
                </c:pt>
                <c:pt idx="6">
                  <c:v>7709</c:v>
                </c:pt>
                <c:pt idx="7">
                  <c:v>5557</c:v>
                </c:pt>
                <c:pt idx="8">
                  <c:v>10739</c:v>
                </c:pt>
                <c:pt idx="9">
                  <c:v>9088</c:v>
                </c:pt>
                <c:pt idx="10">
                  <c:v>7552</c:v>
                </c:pt>
                <c:pt idx="11">
                  <c:v>6759</c:v>
                </c:pt>
                <c:pt idx="12">
                  <c:v>4672</c:v>
                </c:pt>
                <c:pt idx="13">
                  <c:v>8253</c:v>
                </c:pt>
                <c:pt idx="14">
                  <c:v>8772</c:v>
                </c:pt>
                <c:pt idx="15">
                  <c:v>7896</c:v>
                </c:pt>
                <c:pt idx="16">
                  <c:v>3271</c:v>
                </c:pt>
                <c:pt idx="17">
                  <c:v>7892</c:v>
                </c:pt>
                <c:pt idx="18">
                  <c:v>5443</c:v>
                </c:pt>
                <c:pt idx="19">
                  <c:v>4518</c:v>
                </c:pt>
                <c:pt idx="20">
                  <c:v>4734</c:v>
                </c:pt>
                <c:pt idx="21">
                  <c:v>7992</c:v>
                </c:pt>
                <c:pt idx="22">
                  <c:v>8454</c:v>
                </c:pt>
                <c:pt idx="23">
                  <c:v>5652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EA-4D65-9BDA-591B9FADB767}"/>
            </c:ext>
          </c:extLst>
        </c:ser>
        <c:ser>
          <c:idx val="1"/>
          <c:order val="1"/>
          <c:tx>
            <c:strRef>
              <c:f>'Demand Forecasting'!$D$3</c:f>
              <c:strCache>
                <c:ptCount val="1"/>
                <c:pt idx="0">
                  <c:v>3-Month MA (Units)</c:v>
                </c:pt>
              </c:strCache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'Demand Forecasting'!$A$4:$A$27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'Demand Forecasting'!$D$4:$D$27</c:f>
              <c:numCache>
                <c:formatCode>#,##0</c:formatCode>
                <c:ptCount val="24"/>
                <c:pt idx="2">
                  <c:v>6507.666666666667</c:v>
                </c:pt>
                <c:pt idx="3">
                  <c:v>5207</c:v>
                </c:pt>
                <c:pt idx="4">
                  <c:v>5095.333333333333</c:v>
                </c:pt>
                <c:pt idx="5">
                  <c:v>5936.666666666667</c:v>
                </c:pt>
                <c:pt idx="6">
                  <c:v>6720</c:v>
                </c:pt>
                <c:pt idx="7">
                  <c:v>7173</c:v>
                </c:pt>
                <c:pt idx="8">
                  <c:v>8001.666666666667</c:v>
                </c:pt>
                <c:pt idx="9">
                  <c:v>8461.3333333333339</c:v>
                </c:pt>
                <c:pt idx="10">
                  <c:v>9126.3333333333339</c:v>
                </c:pt>
                <c:pt idx="11">
                  <c:v>7799.666666666667</c:v>
                </c:pt>
                <c:pt idx="12">
                  <c:v>6327.666666666667</c:v>
                </c:pt>
                <c:pt idx="13">
                  <c:v>6561.333333333333</c:v>
                </c:pt>
                <c:pt idx="14">
                  <c:v>7232.333333333333</c:v>
                </c:pt>
                <c:pt idx="15">
                  <c:v>8307</c:v>
                </c:pt>
                <c:pt idx="16">
                  <c:v>6646.333333333333</c:v>
                </c:pt>
                <c:pt idx="17">
                  <c:v>6353</c:v>
                </c:pt>
                <c:pt idx="18">
                  <c:v>5535.333333333333</c:v>
                </c:pt>
                <c:pt idx="19">
                  <c:v>5951</c:v>
                </c:pt>
                <c:pt idx="20">
                  <c:v>4898.333333333333</c:v>
                </c:pt>
                <c:pt idx="21">
                  <c:v>5748</c:v>
                </c:pt>
                <c:pt idx="22">
                  <c:v>7060</c:v>
                </c:pt>
                <c:pt idx="23">
                  <c:v>7366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EA-4D65-9BDA-591B9FADB767}"/>
            </c:ext>
          </c:extLst>
        </c:ser>
        <c:ser>
          <c:idx val="2"/>
          <c:order val="2"/>
          <c:tx>
            <c:strRef>
              <c:f>'Demand Forecasting'!$E$3</c:f>
              <c:strCache>
                <c:ptCount val="1"/>
                <c:pt idx="0">
                  <c:v>5-Month MA (Units)</c:v>
                </c:pt>
              </c:strCache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'Demand Forecasting'!$A$4:$A$27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'Demand Forecasting'!$E$4:$E$27</c:f>
              <c:numCache>
                <c:formatCode>#,##0</c:formatCode>
                <c:ptCount val="24"/>
                <c:pt idx="4">
                  <c:v>5816</c:v>
                </c:pt>
                <c:pt idx="5">
                  <c:v>5614.4</c:v>
                </c:pt>
                <c:pt idx="6">
                  <c:v>6249.6</c:v>
                </c:pt>
                <c:pt idx="7">
                  <c:v>6215.2</c:v>
                </c:pt>
                <c:pt idx="8">
                  <c:v>7291.2</c:v>
                </c:pt>
                <c:pt idx="9">
                  <c:v>8269.2000000000007</c:v>
                </c:pt>
                <c:pt idx="10">
                  <c:v>8129</c:v>
                </c:pt>
                <c:pt idx="11">
                  <c:v>7939</c:v>
                </c:pt>
                <c:pt idx="12">
                  <c:v>7762</c:v>
                </c:pt>
                <c:pt idx="13">
                  <c:v>7264.8</c:v>
                </c:pt>
                <c:pt idx="14">
                  <c:v>7201.6</c:v>
                </c:pt>
                <c:pt idx="15">
                  <c:v>7270.4</c:v>
                </c:pt>
                <c:pt idx="16">
                  <c:v>6572.8</c:v>
                </c:pt>
                <c:pt idx="17">
                  <c:v>7216.8</c:v>
                </c:pt>
                <c:pt idx="18">
                  <c:v>6654.8</c:v>
                </c:pt>
                <c:pt idx="19">
                  <c:v>5804</c:v>
                </c:pt>
                <c:pt idx="20">
                  <c:v>5171.6000000000004</c:v>
                </c:pt>
                <c:pt idx="21">
                  <c:v>6115.8</c:v>
                </c:pt>
                <c:pt idx="22">
                  <c:v>6228.2</c:v>
                </c:pt>
                <c:pt idx="23">
                  <c:v>6270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EA-4D65-9BDA-591B9FADB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1750936"/>
        <c:axId val="1388685112"/>
      </c:lineChart>
      <c:catAx>
        <c:axId val="1681750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1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88685112"/>
        <c:crosses val="autoZero"/>
        <c:auto val="1"/>
        <c:lblAlgn val="ctr"/>
        <c:lblOffset val="100"/>
        <c:noMultiLvlLbl val="1"/>
      </c:catAx>
      <c:valAx>
        <c:axId val="13886851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1" i="0">
                    <a:solidFill>
                      <a:srgbClr val="000000"/>
                    </a:solidFill>
                    <a:latin typeface="+mn-lt"/>
                  </a:rPr>
                  <a:t>Units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8175093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IN" b="1" i="0">
                <a:solidFill>
                  <a:srgbClr val="757575"/>
                </a:solidFill>
                <a:latin typeface="+mn-lt"/>
              </a:rPr>
              <a:t>Monthly Forecast Accuracy (MAPE 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'Demand Forecasting'!$I$3</c:f>
              <c:strCache>
                <c:ptCount val="1"/>
                <c:pt idx="0">
                  <c:v>MAPE (%)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'Demand Forecasting'!$A$4:$A$27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'Demand Forecasting'!$I$4:$I$27</c:f>
              <c:numCache>
                <c:formatCode>0.00%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0.13591668121254441</c:v>
                </c:pt>
                <c:pt idx="3">
                  <c:v>2.8363500653106923E-2</c:v>
                </c:pt>
                <c:pt idx="4">
                  <c:v>0.21375258059393354</c:v>
                </c:pt>
                <c:pt idx="5">
                  <c:v>0.2806656165434791</c:v>
                </c:pt>
                <c:pt idx="6">
                  <c:v>0.1282916072123492</c:v>
                </c:pt>
                <c:pt idx="7">
                  <c:v>0.29080439085837684</c:v>
                </c:pt>
                <c:pt idx="8">
                  <c:v>0.25489648322314301</c:v>
                </c:pt>
                <c:pt idx="9">
                  <c:v>6.895539906103279E-2</c:v>
                </c:pt>
                <c:pt idx="10">
                  <c:v>0.20846574858757069</c:v>
                </c:pt>
                <c:pt idx="11">
                  <c:v>0.15396754944025254</c:v>
                </c:pt>
                <c:pt idx="12">
                  <c:v>0.35438070776255715</c:v>
                </c:pt>
                <c:pt idx="13">
                  <c:v>0.20497596833474699</c:v>
                </c:pt>
                <c:pt idx="14">
                  <c:v>0.17552059583523336</c:v>
                </c:pt>
                <c:pt idx="15">
                  <c:v>5.2051671732522793E-2</c:v>
                </c:pt>
                <c:pt idx="16">
                  <c:v>1.0318964638744521</c:v>
                </c:pt>
                <c:pt idx="17">
                  <c:v>0.19500760263558034</c:v>
                </c:pt>
                <c:pt idx="18">
                  <c:v>1.6963684242758226E-2</c:v>
                </c:pt>
                <c:pt idx="19">
                  <c:v>0.31717574147853034</c:v>
                </c:pt>
                <c:pt idx="20">
                  <c:v>3.4713420644979516E-2</c:v>
                </c:pt>
                <c:pt idx="21">
                  <c:v>0.28078078078078078</c:v>
                </c:pt>
                <c:pt idx="22">
                  <c:v>0.16489235864679441</c:v>
                </c:pt>
                <c:pt idx="23">
                  <c:v>0.30325548478414721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9AE-4A8F-B47B-9D36A379D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6803760"/>
        <c:axId val="417036904"/>
      </c:barChart>
      <c:catAx>
        <c:axId val="1926803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1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17036904"/>
        <c:crosses val="autoZero"/>
        <c:auto val="1"/>
        <c:lblAlgn val="ctr"/>
        <c:lblOffset val="100"/>
        <c:noMultiLvlLbl val="1"/>
      </c:catAx>
      <c:valAx>
        <c:axId val="4170369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1" i="0">
                    <a:solidFill>
                      <a:srgbClr val="000000"/>
                    </a:solidFill>
                    <a:latin typeface="+mn-lt"/>
                  </a:rPr>
                  <a:t>MAPE %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2680376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IN" b="1" i="0">
                <a:solidFill>
                  <a:srgbClr val="757575"/>
                </a:solidFill>
                <a:latin typeface="+mn-lt"/>
              </a:rPr>
              <a:t>Supplier Reliability Score Comparison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'Supplier Scorecard'!$K$3</c:f>
              <c:strCache>
                <c:ptCount val="1"/>
                <c:pt idx="0">
                  <c:v>Reliability Score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'Supplier Scorecard'!$B$4:$B$11</c:f>
              <c:strCache>
                <c:ptCount val="8"/>
                <c:pt idx="0">
                  <c:v>MahaComp Industries</c:v>
                </c:pt>
                <c:pt idx="1">
                  <c:v>TN Parts Pvt. Ltd.</c:v>
                </c:pt>
                <c:pt idx="2">
                  <c:v>GujFab Ltd.</c:v>
                </c:pt>
                <c:pt idx="3">
                  <c:v>RajMetals Corp</c:v>
                </c:pt>
                <c:pt idx="4">
                  <c:v>UP Electricals</c:v>
                </c:pt>
                <c:pt idx="5">
                  <c:v>Pune Precision</c:v>
                </c:pt>
                <c:pt idx="6">
                  <c:v>Chennai Hydraulics</c:v>
                </c:pt>
                <c:pt idx="7">
                  <c:v>Delhi Auto Components</c:v>
                </c:pt>
              </c:strCache>
            </c:strRef>
          </c:cat>
          <c:val>
            <c:numRef>
              <c:f>'Supplier Scorecard'!$K$4:$K$11</c:f>
              <c:numCache>
                <c:formatCode>0.00</c:formatCode>
                <c:ptCount val="8"/>
                <c:pt idx="0">
                  <c:v>0.84</c:v>
                </c:pt>
                <c:pt idx="1">
                  <c:v>0.81</c:v>
                </c:pt>
                <c:pt idx="2">
                  <c:v>0.83</c:v>
                </c:pt>
                <c:pt idx="3">
                  <c:v>0.86</c:v>
                </c:pt>
                <c:pt idx="4">
                  <c:v>0.84</c:v>
                </c:pt>
                <c:pt idx="5">
                  <c:v>0.83</c:v>
                </c:pt>
                <c:pt idx="6">
                  <c:v>0.82</c:v>
                </c:pt>
                <c:pt idx="7">
                  <c:v>0.84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148-4AE1-ADF9-D379174BE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3027936"/>
        <c:axId val="1916165319"/>
      </c:barChart>
      <c:catAx>
        <c:axId val="1153027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1" i="0">
                    <a:solidFill>
                      <a:srgbClr val="000000"/>
                    </a:solidFill>
                    <a:latin typeface="+mn-lt"/>
                  </a:rPr>
                  <a:t>Supplier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16165319"/>
        <c:crosses val="autoZero"/>
        <c:auto val="1"/>
        <c:lblAlgn val="ctr"/>
        <c:lblOffset val="100"/>
        <c:noMultiLvlLbl val="1"/>
      </c:catAx>
      <c:valAx>
        <c:axId val="19161653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1" i="0">
                    <a:solidFill>
                      <a:srgbClr val="000000"/>
                    </a:solidFill>
                    <a:latin typeface="+mn-lt"/>
                  </a:rPr>
                  <a:t>Reliability Score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5302793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IN" b="1" i="0">
                <a:solidFill>
                  <a:srgbClr val="757575"/>
                </a:solidFill>
                <a:latin typeface="+mn-lt"/>
              </a:rPr>
              <a:t>Supplier On-Time Delivery % vs Target (90%)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'Supplier Scorecard'!$N$3</c:f>
              <c:strCache>
                <c:ptCount val="1"/>
                <c:pt idx="0">
                  <c:v>OTD %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'Supplier Scorecard'!$B$4:$B$11</c:f>
              <c:strCache>
                <c:ptCount val="8"/>
                <c:pt idx="0">
                  <c:v>MahaComp Industries</c:v>
                </c:pt>
                <c:pt idx="1">
                  <c:v>TN Parts Pvt. Ltd.</c:v>
                </c:pt>
                <c:pt idx="2">
                  <c:v>GujFab Ltd.</c:v>
                </c:pt>
                <c:pt idx="3">
                  <c:v>RajMetals Corp</c:v>
                </c:pt>
                <c:pt idx="4">
                  <c:v>UP Electricals</c:v>
                </c:pt>
                <c:pt idx="5">
                  <c:v>Pune Precision</c:v>
                </c:pt>
                <c:pt idx="6">
                  <c:v>Chennai Hydraulics</c:v>
                </c:pt>
                <c:pt idx="7">
                  <c:v>Delhi Auto Components</c:v>
                </c:pt>
              </c:strCache>
            </c:strRef>
          </c:cat>
          <c:val>
            <c:numRef>
              <c:f>'Supplier Scorecard'!$N$4:$N$11</c:f>
              <c:numCache>
                <c:formatCode>0.00%</c:formatCode>
                <c:ptCount val="8"/>
                <c:pt idx="0">
                  <c:v>0.22580645161290322</c:v>
                </c:pt>
                <c:pt idx="1">
                  <c:v>4.5454545454545456E-2</c:v>
                </c:pt>
                <c:pt idx="2">
                  <c:v>0.24590163934426229</c:v>
                </c:pt>
                <c:pt idx="3">
                  <c:v>0.24324324324324326</c:v>
                </c:pt>
                <c:pt idx="4">
                  <c:v>0.18</c:v>
                </c:pt>
                <c:pt idx="5">
                  <c:v>0.24528301886792453</c:v>
                </c:pt>
                <c:pt idx="6">
                  <c:v>0.22857142857142856</c:v>
                </c:pt>
                <c:pt idx="7">
                  <c:v>0.32258064516129031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775-4CF6-AD43-22567E654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7155243"/>
        <c:axId val="787757439"/>
      </c:barChart>
      <c:catAx>
        <c:axId val="116715524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1" i="0">
                    <a:solidFill>
                      <a:srgbClr val="000000"/>
                    </a:solidFill>
                    <a:latin typeface="+mn-lt"/>
                  </a:rPr>
                  <a:t>OTD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87757439"/>
        <c:crosses val="autoZero"/>
        <c:auto val="1"/>
        <c:lblAlgn val="ctr"/>
        <c:lblOffset val="100"/>
        <c:noMultiLvlLbl val="1"/>
      </c:catAx>
      <c:valAx>
        <c:axId val="78775743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1" i="0">
                    <a:solidFill>
                      <a:srgbClr val="000000"/>
                    </a:solidFill>
                    <a:latin typeface="+mn-lt"/>
                  </a:rPr>
                  <a:t>Supplier Name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67155243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IN" b="1" i="0">
                <a:solidFill>
                  <a:srgbClr val="757575"/>
                </a:solidFill>
                <a:latin typeface="+mn-lt"/>
              </a:rPr>
              <a:t>On-Time Delivery % by Distribution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'Logistics &amp; Delivery'!$F$3</c:f>
              <c:strCache>
                <c:ptCount val="1"/>
                <c:pt idx="0">
                  <c:v>OTD %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'Logistics &amp; Delivery'!$A$4:$A$8</c:f>
              <c:strCache>
                <c:ptCount val="5"/>
                <c:pt idx="0">
                  <c:v>West</c:v>
                </c:pt>
                <c:pt idx="1">
                  <c:v>West</c:v>
                </c:pt>
                <c:pt idx="2">
                  <c:v>West</c:v>
                </c:pt>
                <c:pt idx="3">
                  <c:v>West</c:v>
                </c:pt>
                <c:pt idx="4">
                  <c:v>South</c:v>
                </c:pt>
              </c:strCache>
            </c:strRef>
          </c:cat>
          <c:val>
            <c:numRef>
              <c:f>'Logistics &amp; Delivery'!$F$4:$F$8</c:f>
              <c:numCache>
                <c:formatCode>0.00%</c:formatCode>
                <c:ptCount val="5"/>
                <c:pt idx="0">
                  <c:v>0.20143884892086331</c:v>
                </c:pt>
                <c:pt idx="1">
                  <c:v>0.21428571428571427</c:v>
                </c:pt>
                <c:pt idx="2">
                  <c:v>0.19718309859154928</c:v>
                </c:pt>
                <c:pt idx="3">
                  <c:v>0.16666666666666666</c:v>
                </c:pt>
                <c:pt idx="4">
                  <c:v>0.27102803738317754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195-4D40-9031-A21FDA2DB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7826719"/>
        <c:axId val="804056104"/>
      </c:barChart>
      <c:catAx>
        <c:axId val="17078267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1" i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04056104"/>
        <c:crosses val="autoZero"/>
        <c:auto val="1"/>
        <c:lblAlgn val="ctr"/>
        <c:lblOffset val="100"/>
        <c:noMultiLvlLbl val="1"/>
      </c:catAx>
      <c:valAx>
        <c:axId val="8040561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1" i="0">
                    <a:solidFill>
                      <a:srgbClr val="000000"/>
                    </a:solidFill>
                    <a:latin typeface="+mn-lt"/>
                  </a:rPr>
                  <a:t>OTD %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0782671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IN" b="1" i="0">
                <a:solidFill>
                  <a:srgbClr val="757575"/>
                </a:solidFill>
                <a:latin typeface="+mn-lt"/>
              </a:rPr>
              <a:t>Average Delivery Delay by City — FY2023-24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'Logistics &amp; Delivery'!$G$3</c:f>
              <c:strCache>
                <c:ptCount val="1"/>
                <c:pt idx="0">
                  <c:v>Avg Delay (Days)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'Logistics &amp; Delivery'!$B$9:$B$17</c:f>
              <c:strCache>
                <c:ptCount val="9"/>
                <c:pt idx="0">
                  <c:v>Hyderabad</c:v>
                </c:pt>
                <c:pt idx="1">
                  <c:v>Chennai</c:v>
                </c:pt>
                <c:pt idx="2">
                  <c:v>Bengaluru</c:v>
                </c:pt>
                <c:pt idx="3">
                  <c:v>(Regional)</c:v>
                </c:pt>
                <c:pt idx="4">
                  <c:v>Delhi</c:v>
                </c:pt>
                <c:pt idx="5">
                  <c:v>(Regional)</c:v>
                </c:pt>
                <c:pt idx="6">
                  <c:v>Kolkata</c:v>
                </c:pt>
                <c:pt idx="7">
                  <c:v>(Regional)</c:v>
                </c:pt>
                <c:pt idx="8">
                  <c:v>Delhi</c:v>
                </c:pt>
              </c:strCache>
            </c:strRef>
          </c:cat>
          <c:val>
            <c:numRef>
              <c:f>'Logistics &amp; Delivery'!$G$4:$G$17</c:f>
              <c:numCache>
                <c:formatCode>General</c:formatCode>
                <c:ptCount val="14"/>
                <c:pt idx="0">
                  <c:v>4.3</c:v>
                </c:pt>
                <c:pt idx="1">
                  <c:v>4.8</c:v>
                </c:pt>
                <c:pt idx="2">
                  <c:v>4.0999999999999996</c:v>
                </c:pt>
                <c:pt idx="3">
                  <c:v>3.2</c:v>
                </c:pt>
                <c:pt idx="4">
                  <c:v>3.8</c:v>
                </c:pt>
                <c:pt idx="5">
                  <c:v>4.2</c:v>
                </c:pt>
                <c:pt idx="6">
                  <c:v>3.9</c:v>
                </c:pt>
                <c:pt idx="7">
                  <c:v>3.3</c:v>
                </c:pt>
                <c:pt idx="8">
                  <c:v>4</c:v>
                </c:pt>
                <c:pt idx="9">
                  <c:v>4</c:v>
                </c:pt>
                <c:pt idx="10">
                  <c:v>3.1</c:v>
                </c:pt>
                <c:pt idx="11">
                  <c:v>3.1</c:v>
                </c:pt>
                <c:pt idx="12">
                  <c:v>5.5</c:v>
                </c:pt>
                <c:pt idx="13">
                  <c:v>5.5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859-498A-B325-049046A11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6747218"/>
        <c:axId val="1527386307"/>
      </c:barChart>
      <c:catAx>
        <c:axId val="171674721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1" i="0">
                    <a:solidFill>
                      <a:srgbClr val="000000"/>
                    </a:solidFill>
                    <a:latin typeface="+mn-lt"/>
                  </a:rPr>
                  <a:t>Average Delay Days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27386307"/>
        <c:crosses val="autoZero"/>
        <c:auto val="1"/>
        <c:lblAlgn val="ctr"/>
        <c:lblOffset val="100"/>
        <c:noMultiLvlLbl val="1"/>
      </c:catAx>
      <c:valAx>
        <c:axId val="15273863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1" i="0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16747218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IN" b="1" i="0">
                <a:solidFill>
                  <a:srgbClr val="757575"/>
                </a:solidFill>
                <a:latin typeface="+mn-lt"/>
              </a:rPr>
              <a:t>Monthly Revenue vs Freight Cost Trend (₹)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'Logistics &amp; Delivery'!$M$20</c:f>
              <c:strCache>
                <c:ptCount val="1"/>
                <c:pt idx="0">
                  <c:v>Revenue</c:v>
                </c:pt>
              </c:strCache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'Logistics &amp; Delivery'!$L$21:$L$44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'Logistics &amp; Delivery'!$M$21:$M$44</c:f>
              <c:numCache>
                <c:formatCode>0.0</c:formatCode>
                <c:ptCount val="24"/>
                <c:pt idx="0">
                  <c:v>19305036.920000002</c:v>
                </c:pt>
                <c:pt idx="1">
                  <c:v>11445542.439999999</c:v>
                </c:pt>
                <c:pt idx="2">
                  <c:v>13277762.15</c:v>
                </c:pt>
                <c:pt idx="3">
                  <c:v>14315175.35</c:v>
                </c:pt>
                <c:pt idx="4">
                  <c:v>3598995.65</c:v>
                </c:pt>
                <c:pt idx="5">
                  <c:v>20628042.09</c:v>
                </c:pt>
                <c:pt idx="6">
                  <c:v>22295628.530000001</c:v>
                </c:pt>
                <c:pt idx="7">
                  <c:v>20407153.780000001</c:v>
                </c:pt>
                <c:pt idx="8">
                  <c:v>42227560.549999997</c:v>
                </c:pt>
                <c:pt idx="9">
                  <c:v>11355771.32</c:v>
                </c:pt>
                <c:pt idx="10">
                  <c:v>14788407.050000001</c:v>
                </c:pt>
                <c:pt idx="11">
                  <c:v>4361846</c:v>
                </c:pt>
                <c:pt idx="12">
                  <c:v>7458522.0700000003</c:v>
                </c:pt>
                <c:pt idx="13">
                  <c:v>8282226.6600000001</c:v>
                </c:pt>
                <c:pt idx="14">
                  <c:v>11910437.83</c:v>
                </c:pt>
                <c:pt idx="15">
                  <c:v>10554168.609999999</c:v>
                </c:pt>
                <c:pt idx="16">
                  <c:v>10269457.76</c:v>
                </c:pt>
                <c:pt idx="17">
                  <c:v>19307240.010000002</c:v>
                </c:pt>
                <c:pt idx="18">
                  <c:v>11754111.58</c:v>
                </c:pt>
                <c:pt idx="19">
                  <c:v>3571284.39</c:v>
                </c:pt>
                <c:pt idx="20">
                  <c:v>21461616.73</c:v>
                </c:pt>
                <c:pt idx="21">
                  <c:v>25808437.600000001</c:v>
                </c:pt>
                <c:pt idx="22">
                  <c:v>11778331.609999999</c:v>
                </c:pt>
                <c:pt idx="23">
                  <c:v>9322542.6500000004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F1-4E5A-ABC3-5A1B729C62BB}"/>
            </c:ext>
          </c:extLst>
        </c:ser>
        <c:ser>
          <c:idx val="1"/>
          <c:order val="1"/>
          <c:tx>
            <c:strRef>
              <c:f>'Logistics &amp; Delivery'!$N$20</c:f>
              <c:strCache>
                <c:ptCount val="1"/>
                <c:pt idx="0">
                  <c:v>Freight Cost</c:v>
                </c:pt>
              </c:strCache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'Logistics &amp; Delivery'!$L$21:$L$44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'Logistics &amp; Delivery'!$N$21:$N$44</c:f>
              <c:numCache>
                <c:formatCode>0.00</c:formatCode>
                <c:ptCount val="24"/>
                <c:pt idx="0">
                  <c:v>76369</c:v>
                </c:pt>
                <c:pt idx="1">
                  <c:v>36958</c:v>
                </c:pt>
                <c:pt idx="2">
                  <c:v>88432</c:v>
                </c:pt>
                <c:pt idx="3">
                  <c:v>65330</c:v>
                </c:pt>
                <c:pt idx="4">
                  <c:v>41756</c:v>
                </c:pt>
                <c:pt idx="5">
                  <c:v>58475</c:v>
                </c:pt>
                <c:pt idx="6">
                  <c:v>85960</c:v>
                </c:pt>
                <c:pt idx="7">
                  <c:v>61132</c:v>
                </c:pt>
                <c:pt idx="8">
                  <c:v>95673</c:v>
                </c:pt>
                <c:pt idx="9">
                  <c:v>59687</c:v>
                </c:pt>
                <c:pt idx="10">
                  <c:v>74001</c:v>
                </c:pt>
                <c:pt idx="11">
                  <c:v>36698</c:v>
                </c:pt>
                <c:pt idx="12">
                  <c:v>37464</c:v>
                </c:pt>
                <c:pt idx="13">
                  <c:v>69970</c:v>
                </c:pt>
                <c:pt idx="14">
                  <c:v>55270</c:v>
                </c:pt>
                <c:pt idx="15">
                  <c:v>60345</c:v>
                </c:pt>
                <c:pt idx="16">
                  <c:v>43147</c:v>
                </c:pt>
                <c:pt idx="17">
                  <c:v>86502</c:v>
                </c:pt>
                <c:pt idx="18">
                  <c:v>37726</c:v>
                </c:pt>
                <c:pt idx="19">
                  <c:v>37463</c:v>
                </c:pt>
                <c:pt idx="20">
                  <c:v>44683</c:v>
                </c:pt>
                <c:pt idx="21">
                  <c:v>66595</c:v>
                </c:pt>
                <c:pt idx="22">
                  <c:v>62151</c:v>
                </c:pt>
                <c:pt idx="23">
                  <c:v>41680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F1-4E5A-ABC3-5A1B729C6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340480"/>
        <c:axId val="430648053"/>
      </c:lineChart>
      <c:catAx>
        <c:axId val="33340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1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30648053"/>
        <c:crosses val="autoZero"/>
        <c:auto val="1"/>
        <c:lblAlgn val="ctr"/>
        <c:lblOffset val="100"/>
        <c:noMultiLvlLbl val="1"/>
      </c:catAx>
      <c:valAx>
        <c:axId val="4306480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1" i="0">
                    <a:solidFill>
                      <a:srgbClr val="000000"/>
                    </a:solidFill>
                    <a:latin typeface="+mn-lt"/>
                  </a:rPr>
                  <a:t>Revenue (₹)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34048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IN" b="1" i="0">
                <a:solidFill>
                  <a:srgbClr val="757575"/>
                </a:solidFill>
                <a:latin typeface="+mn-lt"/>
              </a:rPr>
              <a:t>Monthly On-Time vs Late Delivery Split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'Logistics &amp; Delivery'!$M$47</c:f>
              <c:strCache>
                <c:ptCount val="1"/>
                <c:pt idx="0">
                  <c:v>On-Time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'Logistics &amp; Delivery'!$L$48:$L$71</c:f>
              <c:strCache>
                <c:ptCount val="24"/>
                <c:pt idx="0">
                  <c:v>Jan-2023</c:v>
                </c:pt>
                <c:pt idx="1">
                  <c:v>Feb-2023</c:v>
                </c:pt>
                <c:pt idx="2">
                  <c:v>Mar-2023</c:v>
                </c:pt>
                <c:pt idx="3">
                  <c:v>Apr-2023</c:v>
                </c:pt>
                <c:pt idx="4">
                  <c:v>May-2023</c:v>
                </c:pt>
                <c:pt idx="5">
                  <c:v>Jun-2023</c:v>
                </c:pt>
                <c:pt idx="6">
                  <c:v>Jul-2023</c:v>
                </c:pt>
                <c:pt idx="7">
                  <c:v>Aug-2023</c:v>
                </c:pt>
                <c:pt idx="8">
                  <c:v>Sep-2023</c:v>
                </c:pt>
                <c:pt idx="9">
                  <c:v>Oct-2023</c:v>
                </c:pt>
                <c:pt idx="10">
                  <c:v>Nov-2023</c:v>
                </c:pt>
                <c:pt idx="11">
                  <c:v>Dec-2023</c:v>
                </c:pt>
                <c:pt idx="12">
                  <c:v>Jan-2024</c:v>
                </c:pt>
                <c:pt idx="13">
                  <c:v>Feb-2024</c:v>
                </c:pt>
                <c:pt idx="14">
                  <c:v>Mar-2024</c:v>
                </c:pt>
                <c:pt idx="15">
                  <c:v>Apr-2024</c:v>
                </c:pt>
                <c:pt idx="16">
                  <c:v>May-2024</c:v>
                </c:pt>
                <c:pt idx="17">
                  <c:v>Jun-2024</c:v>
                </c:pt>
                <c:pt idx="18">
                  <c:v>Jul-2024</c:v>
                </c:pt>
                <c:pt idx="19">
                  <c:v>Aug-2024</c:v>
                </c:pt>
                <c:pt idx="20">
                  <c:v>Sep-2024</c:v>
                </c:pt>
                <c:pt idx="21">
                  <c:v>Oct-2024</c:v>
                </c:pt>
                <c:pt idx="22">
                  <c:v>Nov-2024</c:v>
                </c:pt>
                <c:pt idx="23">
                  <c:v>Dec-2024</c:v>
                </c:pt>
              </c:strCache>
            </c:strRef>
          </c:cat>
          <c:val>
            <c:numRef>
              <c:f>'Logistics &amp; Delivery'!$M$48:$M$71</c:f>
              <c:numCache>
                <c:formatCode>"₹"\ #,##0.00</c:formatCode>
                <c:ptCount val="24"/>
                <c:pt idx="0">
                  <c:v>6</c:v>
                </c:pt>
                <c:pt idx="1">
                  <c:v>3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1</c:v>
                </c:pt>
                <c:pt idx="8">
                  <c:v>6</c:v>
                </c:pt>
                <c:pt idx="9">
                  <c:v>2</c:v>
                </c:pt>
                <c:pt idx="10">
                  <c:v>6</c:v>
                </c:pt>
                <c:pt idx="11">
                  <c:v>2</c:v>
                </c:pt>
                <c:pt idx="12">
                  <c:v>3</c:v>
                </c:pt>
                <c:pt idx="13">
                  <c:v>6</c:v>
                </c:pt>
                <c:pt idx="14">
                  <c:v>4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4</c:v>
                </c:pt>
                <c:pt idx="20">
                  <c:v>2</c:v>
                </c:pt>
                <c:pt idx="21">
                  <c:v>4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8D3-45A0-9E6A-6B9E938F321E}"/>
            </c:ext>
          </c:extLst>
        </c:ser>
        <c:ser>
          <c:idx val="1"/>
          <c:order val="1"/>
          <c:tx>
            <c:strRef>
              <c:f>'Logistics &amp; Delivery'!$N$47</c:f>
              <c:strCache>
                <c:ptCount val="1"/>
                <c:pt idx="0">
                  <c:v>Late</c:v>
                </c:pt>
              </c:strCache>
            </c:strRef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'Logistics &amp; Delivery'!$L$48:$L$71</c:f>
              <c:strCache>
                <c:ptCount val="24"/>
                <c:pt idx="0">
                  <c:v>Jan-2023</c:v>
                </c:pt>
                <c:pt idx="1">
                  <c:v>Feb-2023</c:v>
                </c:pt>
                <c:pt idx="2">
                  <c:v>Mar-2023</c:v>
                </c:pt>
                <c:pt idx="3">
                  <c:v>Apr-2023</c:v>
                </c:pt>
                <c:pt idx="4">
                  <c:v>May-2023</c:v>
                </c:pt>
                <c:pt idx="5">
                  <c:v>Jun-2023</c:v>
                </c:pt>
                <c:pt idx="6">
                  <c:v>Jul-2023</c:v>
                </c:pt>
                <c:pt idx="7">
                  <c:v>Aug-2023</c:v>
                </c:pt>
                <c:pt idx="8">
                  <c:v>Sep-2023</c:v>
                </c:pt>
                <c:pt idx="9">
                  <c:v>Oct-2023</c:v>
                </c:pt>
                <c:pt idx="10">
                  <c:v>Nov-2023</c:v>
                </c:pt>
                <c:pt idx="11">
                  <c:v>Dec-2023</c:v>
                </c:pt>
                <c:pt idx="12">
                  <c:v>Jan-2024</c:v>
                </c:pt>
                <c:pt idx="13">
                  <c:v>Feb-2024</c:v>
                </c:pt>
                <c:pt idx="14">
                  <c:v>Mar-2024</c:v>
                </c:pt>
                <c:pt idx="15">
                  <c:v>Apr-2024</c:v>
                </c:pt>
                <c:pt idx="16">
                  <c:v>May-2024</c:v>
                </c:pt>
                <c:pt idx="17">
                  <c:v>Jun-2024</c:v>
                </c:pt>
                <c:pt idx="18">
                  <c:v>Jul-2024</c:v>
                </c:pt>
                <c:pt idx="19">
                  <c:v>Aug-2024</c:v>
                </c:pt>
                <c:pt idx="20">
                  <c:v>Sep-2024</c:v>
                </c:pt>
                <c:pt idx="21">
                  <c:v>Oct-2024</c:v>
                </c:pt>
                <c:pt idx="22">
                  <c:v>Nov-2024</c:v>
                </c:pt>
                <c:pt idx="23">
                  <c:v>Dec-2024</c:v>
                </c:pt>
              </c:strCache>
            </c:strRef>
          </c:cat>
          <c:val>
            <c:numRef>
              <c:f>'Logistics &amp; Delivery'!$N$48:$N$71</c:f>
              <c:numCache>
                <c:formatCode>General</c:formatCode>
                <c:ptCount val="24"/>
                <c:pt idx="0">
                  <c:v>10</c:v>
                </c:pt>
                <c:pt idx="1">
                  <c:v>5</c:v>
                </c:pt>
                <c:pt idx="2">
                  <c:v>12</c:v>
                </c:pt>
                <c:pt idx="3">
                  <c:v>12</c:v>
                </c:pt>
                <c:pt idx="4">
                  <c:v>9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13</c:v>
                </c:pt>
                <c:pt idx="9">
                  <c:v>13</c:v>
                </c:pt>
                <c:pt idx="10">
                  <c:v>10</c:v>
                </c:pt>
                <c:pt idx="11">
                  <c:v>9</c:v>
                </c:pt>
                <c:pt idx="12">
                  <c:v>6</c:v>
                </c:pt>
                <c:pt idx="13">
                  <c:v>11</c:v>
                </c:pt>
                <c:pt idx="14">
                  <c:v>10</c:v>
                </c:pt>
                <c:pt idx="15">
                  <c:v>14</c:v>
                </c:pt>
                <c:pt idx="16">
                  <c:v>10</c:v>
                </c:pt>
                <c:pt idx="17">
                  <c:v>15</c:v>
                </c:pt>
                <c:pt idx="18">
                  <c:v>9</c:v>
                </c:pt>
                <c:pt idx="19">
                  <c:v>7</c:v>
                </c:pt>
                <c:pt idx="20">
                  <c:v>8</c:v>
                </c:pt>
                <c:pt idx="21">
                  <c:v>11</c:v>
                </c:pt>
                <c:pt idx="22">
                  <c:v>8</c:v>
                </c:pt>
                <c:pt idx="23">
                  <c:v>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8D3-45A0-9E6A-6B9E938F3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87647192"/>
        <c:axId val="1861873007"/>
      </c:barChart>
      <c:catAx>
        <c:axId val="1587647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61873007"/>
        <c:crosses val="autoZero"/>
        <c:auto val="1"/>
        <c:lblAlgn val="ctr"/>
        <c:lblOffset val="100"/>
        <c:noMultiLvlLbl val="1"/>
      </c:catAx>
      <c:valAx>
        <c:axId val="18618730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&quot;₹&quot;\ 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764719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IN" b="1" i="0">
                <a:solidFill>
                  <a:srgbClr val="757575"/>
                </a:solidFill>
                <a:latin typeface="+mn-lt"/>
              </a:rPr>
              <a:t>Annual Distribution Cost Structure — FY2024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'Cost Analysis'!$B$31</c:f>
              <c:strCache>
                <c:ptCount val="1"/>
                <c:pt idx="0">
                  <c:v>Annual Value</c:v>
                </c:pt>
              </c:strCache>
            </c:strRef>
          </c:tx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5AD0-4C8A-ADC8-412C4D4101FB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5AD0-4C8A-ADC8-412C4D4101FB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5AD0-4C8A-ADC8-412C4D4101FB}"/>
              </c:ext>
            </c:extLst>
          </c:dPt>
          <c:cat>
            <c:strRef>
              <c:f>'Cost Analysis'!$A$32:$A$34</c:f>
              <c:strCache>
                <c:ptCount val="3"/>
                <c:pt idx="0">
                  <c:v>Procurement</c:v>
                </c:pt>
                <c:pt idx="1">
                  <c:v>Freight</c:v>
                </c:pt>
                <c:pt idx="2">
                  <c:v>Holding</c:v>
                </c:pt>
              </c:strCache>
            </c:strRef>
          </c:cat>
          <c:val>
            <c:numRef>
              <c:f>'Cost Analysis'!$B$32:$B$34</c:f>
              <c:numCache>
                <c:formatCode>General</c:formatCode>
                <c:ptCount val="3"/>
                <c:pt idx="0">
                  <c:v>82479869873.639999</c:v>
                </c:pt>
                <c:pt idx="1">
                  <c:v>1423467</c:v>
                </c:pt>
                <c:pt idx="2">
                  <c:v>96539052.939999998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D0-4C8A-ADC8-412C4D410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IN" b="1" i="0">
                <a:solidFill>
                  <a:srgbClr val="757575"/>
                </a:solidFill>
                <a:latin typeface="+mn-lt"/>
              </a:rPr>
              <a:t>Monthly Distribution Cost Breakdown (₹ Lakhs)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'Cost Analysis'!$C$3</c:f>
              <c:strCache>
                <c:ptCount val="1"/>
                <c:pt idx="0">
                  <c:v>Total Freight Cost (₹)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'Cost Analysis'!$A$4:$A$27</c:f>
              <c:strCache>
                <c:ptCount val="24"/>
                <c:pt idx="0">
                  <c:v>Jan-2023</c:v>
                </c:pt>
                <c:pt idx="1">
                  <c:v>Feb-2023</c:v>
                </c:pt>
                <c:pt idx="2">
                  <c:v>Mar-2023</c:v>
                </c:pt>
                <c:pt idx="3">
                  <c:v>Apr-2023</c:v>
                </c:pt>
                <c:pt idx="4">
                  <c:v>May-2023</c:v>
                </c:pt>
                <c:pt idx="5">
                  <c:v>Jun-2023</c:v>
                </c:pt>
                <c:pt idx="6">
                  <c:v>Jul-2023</c:v>
                </c:pt>
                <c:pt idx="7">
                  <c:v>Aug-2023</c:v>
                </c:pt>
                <c:pt idx="8">
                  <c:v>Sep-2023</c:v>
                </c:pt>
                <c:pt idx="9">
                  <c:v>Oct-2023</c:v>
                </c:pt>
                <c:pt idx="10">
                  <c:v>Nov-2023</c:v>
                </c:pt>
                <c:pt idx="11">
                  <c:v>Dec-2023</c:v>
                </c:pt>
                <c:pt idx="12">
                  <c:v>Jan-2024</c:v>
                </c:pt>
                <c:pt idx="13">
                  <c:v>Feb-2024</c:v>
                </c:pt>
                <c:pt idx="14">
                  <c:v>Mar-2024</c:v>
                </c:pt>
                <c:pt idx="15">
                  <c:v>Apr-2024</c:v>
                </c:pt>
                <c:pt idx="16">
                  <c:v>May-2024</c:v>
                </c:pt>
                <c:pt idx="17">
                  <c:v>Jun-2024</c:v>
                </c:pt>
                <c:pt idx="18">
                  <c:v>Jul-2024</c:v>
                </c:pt>
                <c:pt idx="19">
                  <c:v>Aug-2024</c:v>
                </c:pt>
                <c:pt idx="20">
                  <c:v>Sep-2024</c:v>
                </c:pt>
                <c:pt idx="21">
                  <c:v>Oct-2024</c:v>
                </c:pt>
                <c:pt idx="22">
                  <c:v>Nov-2024</c:v>
                </c:pt>
                <c:pt idx="23">
                  <c:v>Dec-2024</c:v>
                </c:pt>
              </c:strCache>
            </c:strRef>
          </c:cat>
          <c:val>
            <c:numRef>
              <c:f>'Cost Analysis'!$C$4:$C$27</c:f>
              <c:numCache>
                <c:formatCode>\₹###,##0.00</c:formatCode>
                <c:ptCount val="24"/>
                <c:pt idx="0">
                  <c:v>76369</c:v>
                </c:pt>
                <c:pt idx="1">
                  <c:v>36958</c:v>
                </c:pt>
                <c:pt idx="2">
                  <c:v>88432</c:v>
                </c:pt>
                <c:pt idx="3">
                  <c:v>65330</c:v>
                </c:pt>
                <c:pt idx="4">
                  <c:v>41756</c:v>
                </c:pt>
                <c:pt idx="5">
                  <c:v>58475</c:v>
                </c:pt>
                <c:pt idx="6">
                  <c:v>85960</c:v>
                </c:pt>
                <c:pt idx="7">
                  <c:v>61132</c:v>
                </c:pt>
                <c:pt idx="8">
                  <c:v>95673</c:v>
                </c:pt>
                <c:pt idx="9">
                  <c:v>59687</c:v>
                </c:pt>
                <c:pt idx="10">
                  <c:v>74001</c:v>
                </c:pt>
                <c:pt idx="11">
                  <c:v>36698</c:v>
                </c:pt>
                <c:pt idx="12">
                  <c:v>37464</c:v>
                </c:pt>
                <c:pt idx="13">
                  <c:v>69970</c:v>
                </c:pt>
                <c:pt idx="14">
                  <c:v>55270</c:v>
                </c:pt>
                <c:pt idx="15">
                  <c:v>60345</c:v>
                </c:pt>
                <c:pt idx="16">
                  <c:v>43147</c:v>
                </c:pt>
                <c:pt idx="17">
                  <c:v>86502</c:v>
                </c:pt>
                <c:pt idx="18">
                  <c:v>37726</c:v>
                </c:pt>
                <c:pt idx="19">
                  <c:v>37463</c:v>
                </c:pt>
                <c:pt idx="20">
                  <c:v>44683</c:v>
                </c:pt>
                <c:pt idx="21">
                  <c:v>66595</c:v>
                </c:pt>
                <c:pt idx="22">
                  <c:v>62151</c:v>
                </c:pt>
                <c:pt idx="23">
                  <c:v>41680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7F9-48D8-A342-A48171143C75}"/>
            </c:ext>
          </c:extLst>
        </c:ser>
        <c:ser>
          <c:idx val="1"/>
          <c:order val="1"/>
          <c:tx>
            <c:strRef>
              <c:f>'Cost Analysis'!$D$3</c:f>
              <c:strCache>
                <c:ptCount val="1"/>
                <c:pt idx="0">
                  <c:v>Total Holding Cost (₹)</c:v>
                </c:pt>
              </c:strCache>
            </c:strRef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'Cost Analysis'!$A$4:$A$27</c:f>
              <c:strCache>
                <c:ptCount val="24"/>
                <c:pt idx="0">
                  <c:v>Jan-2023</c:v>
                </c:pt>
                <c:pt idx="1">
                  <c:v>Feb-2023</c:v>
                </c:pt>
                <c:pt idx="2">
                  <c:v>Mar-2023</c:v>
                </c:pt>
                <c:pt idx="3">
                  <c:v>Apr-2023</c:v>
                </c:pt>
                <c:pt idx="4">
                  <c:v>May-2023</c:v>
                </c:pt>
                <c:pt idx="5">
                  <c:v>Jun-2023</c:v>
                </c:pt>
                <c:pt idx="6">
                  <c:v>Jul-2023</c:v>
                </c:pt>
                <c:pt idx="7">
                  <c:v>Aug-2023</c:v>
                </c:pt>
                <c:pt idx="8">
                  <c:v>Sep-2023</c:v>
                </c:pt>
                <c:pt idx="9">
                  <c:v>Oct-2023</c:v>
                </c:pt>
                <c:pt idx="10">
                  <c:v>Nov-2023</c:v>
                </c:pt>
                <c:pt idx="11">
                  <c:v>Dec-2023</c:v>
                </c:pt>
                <c:pt idx="12">
                  <c:v>Jan-2024</c:v>
                </c:pt>
                <c:pt idx="13">
                  <c:v>Feb-2024</c:v>
                </c:pt>
                <c:pt idx="14">
                  <c:v>Mar-2024</c:v>
                </c:pt>
                <c:pt idx="15">
                  <c:v>Apr-2024</c:v>
                </c:pt>
                <c:pt idx="16">
                  <c:v>May-2024</c:v>
                </c:pt>
                <c:pt idx="17">
                  <c:v>Jun-2024</c:v>
                </c:pt>
                <c:pt idx="18">
                  <c:v>Jul-2024</c:v>
                </c:pt>
                <c:pt idx="19">
                  <c:v>Aug-2024</c:v>
                </c:pt>
                <c:pt idx="20">
                  <c:v>Sep-2024</c:v>
                </c:pt>
                <c:pt idx="21">
                  <c:v>Oct-2024</c:v>
                </c:pt>
                <c:pt idx="22">
                  <c:v>Nov-2024</c:v>
                </c:pt>
                <c:pt idx="23">
                  <c:v>Dec-2024</c:v>
                </c:pt>
              </c:strCache>
            </c:strRef>
          </c:cat>
          <c:val>
            <c:numRef>
              <c:f>'Cost Analysis'!$D$4:$D$27</c:f>
              <c:numCache>
                <c:formatCode>\₹###,##0.00</c:formatCode>
                <c:ptCount val="24"/>
                <c:pt idx="0">
                  <c:v>5369895</c:v>
                </c:pt>
                <c:pt idx="1">
                  <c:v>1844430</c:v>
                </c:pt>
                <c:pt idx="2">
                  <c:v>7134960</c:v>
                </c:pt>
                <c:pt idx="3">
                  <c:v>4774115.5</c:v>
                </c:pt>
                <c:pt idx="4">
                  <c:v>1725518</c:v>
                </c:pt>
                <c:pt idx="5">
                  <c:v>2713425</c:v>
                </c:pt>
                <c:pt idx="6">
                  <c:v>6655139.3700000001</c:v>
                </c:pt>
                <c:pt idx="7">
                  <c:v>5035230</c:v>
                </c:pt>
                <c:pt idx="8">
                  <c:v>8219945.6799999997</c:v>
                </c:pt>
                <c:pt idx="9">
                  <c:v>2583432</c:v>
                </c:pt>
                <c:pt idx="10">
                  <c:v>3674445.75</c:v>
                </c:pt>
                <c:pt idx="11">
                  <c:v>1616010</c:v>
                </c:pt>
                <c:pt idx="12">
                  <c:v>3075860</c:v>
                </c:pt>
                <c:pt idx="13">
                  <c:v>3944149.41</c:v>
                </c:pt>
                <c:pt idx="14">
                  <c:v>3095622</c:v>
                </c:pt>
                <c:pt idx="15">
                  <c:v>4412469.8600000003</c:v>
                </c:pt>
                <c:pt idx="16">
                  <c:v>4408974.55</c:v>
                </c:pt>
                <c:pt idx="17">
                  <c:v>5627569.5</c:v>
                </c:pt>
                <c:pt idx="18">
                  <c:v>3106224</c:v>
                </c:pt>
                <c:pt idx="19">
                  <c:v>2109453.8199999998</c:v>
                </c:pt>
                <c:pt idx="20">
                  <c:v>4568521.5</c:v>
                </c:pt>
                <c:pt idx="21">
                  <c:v>5036160</c:v>
                </c:pt>
                <c:pt idx="22">
                  <c:v>2630988</c:v>
                </c:pt>
                <c:pt idx="23">
                  <c:v>3176514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7F9-48D8-A342-A48171143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59614426"/>
        <c:axId val="184560209"/>
      </c:barChart>
      <c:catAx>
        <c:axId val="13596144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4560209"/>
        <c:crosses val="autoZero"/>
        <c:auto val="1"/>
        <c:lblAlgn val="ctr"/>
        <c:lblOffset val="100"/>
        <c:noMultiLvlLbl val="1"/>
      </c:catAx>
      <c:valAx>
        <c:axId val="1845602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\₹##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5961442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IN" b="1" i="0">
                <a:solidFill>
                  <a:srgbClr val="757575"/>
                </a:solidFill>
                <a:latin typeface="+mn-lt"/>
              </a:rPr>
              <a:t>Revenue vs Distribution Cost — Monthly Trend (₹)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'Cost Analysis'!$F$3</c:f>
              <c:strCache>
                <c:ptCount val="1"/>
                <c:pt idx="0">
                  <c:v>Revenue (₹)</c:v>
                </c:pt>
              </c:strCache>
            </c:strRef>
          </c:tx>
          <c:spPr>
            <a:ln w="28575" cmpd="sng">
              <a:solidFill>
                <a:srgbClr val="4F81BD"/>
              </a:solidFill>
              <a:prstDash val="solid"/>
            </a:ln>
          </c:spPr>
          <c:marker>
            <c:symbol val="none"/>
          </c:marker>
          <c:cat>
            <c:strRef>
              <c:f>'Cost Analysis'!$A$4:$A$27</c:f>
              <c:strCache>
                <c:ptCount val="24"/>
                <c:pt idx="0">
                  <c:v>Jan-2023</c:v>
                </c:pt>
                <c:pt idx="1">
                  <c:v>Feb-2023</c:v>
                </c:pt>
                <c:pt idx="2">
                  <c:v>Mar-2023</c:v>
                </c:pt>
                <c:pt idx="3">
                  <c:v>Apr-2023</c:v>
                </c:pt>
                <c:pt idx="4">
                  <c:v>May-2023</c:v>
                </c:pt>
                <c:pt idx="5">
                  <c:v>Jun-2023</c:v>
                </c:pt>
                <c:pt idx="6">
                  <c:v>Jul-2023</c:v>
                </c:pt>
                <c:pt idx="7">
                  <c:v>Aug-2023</c:v>
                </c:pt>
                <c:pt idx="8">
                  <c:v>Sep-2023</c:v>
                </c:pt>
                <c:pt idx="9">
                  <c:v>Oct-2023</c:v>
                </c:pt>
                <c:pt idx="10">
                  <c:v>Nov-2023</c:v>
                </c:pt>
                <c:pt idx="11">
                  <c:v>Dec-2023</c:v>
                </c:pt>
                <c:pt idx="12">
                  <c:v>Jan-2024</c:v>
                </c:pt>
                <c:pt idx="13">
                  <c:v>Feb-2024</c:v>
                </c:pt>
                <c:pt idx="14">
                  <c:v>Mar-2024</c:v>
                </c:pt>
                <c:pt idx="15">
                  <c:v>Apr-2024</c:v>
                </c:pt>
                <c:pt idx="16">
                  <c:v>May-2024</c:v>
                </c:pt>
                <c:pt idx="17">
                  <c:v>Jun-2024</c:v>
                </c:pt>
                <c:pt idx="18">
                  <c:v>Jul-2024</c:v>
                </c:pt>
                <c:pt idx="19">
                  <c:v>Aug-2024</c:v>
                </c:pt>
                <c:pt idx="20">
                  <c:v>Sep-2024</c:v>
                </c:pt>
                <c:pt idx="21">
                  <c:v>Oct-2024</c:v>
                </c:pt>
                <c:pt idx="22">
                  <c:v>Nov-2024</c:v>
                </c:pt>
                <c:pt idx="23">
                  <c:v>Dec-2024</c:v>
                </c:pt>
              </c:strCache>
            </c:strRef>
          </c:cat>
          <c:val>
            <c:numRef>
              <c:f>'Cost Analysis'!$F$4:$F$27</c:f>
              <c:numCache>
                <c:formatCode>\₹###,##0</c:formatCode>
                <c:ptCount val="24"/>
                <c:pt idx="0">
                  <c:v>19305036.920000002</c:v>
                </c:pt>
                <c:pt idx="1">
                  <c:v>11445542.439999999</c:v>
                </c:pt>
                <c:pt idx="2">
                  <c:v>13277762.15</c:v>
                </c:pt>
                <c:pt idx="3">
                  <c:v>14315175.35</c:v>
                </c:pt>
                <c:pt idx="4">
                  <c:v>3598995.65</c:v>
                </c:pt>
                <c:pt idx="5">
                  <c:v>20628042.09</c:v>
                </c:pt>
                <c:pt idx="6">
                  <c:v>22295628.530000001</c:v>
                </c:pt>
                <c:pt idx="7">
                  <c:v>20407153.780000001</c:v>
                </c:pt>
                <c:pt idx="8">
                  <c:v>42227560.549999997</c:v>
                </c:pt>
                <c:pt idx="9">
                  <c:v>11355771.32</c:v>
                </c:pt>
                <c:pt idx="10">
                  <c:v>14788407.050000001</c:v>
                </c:pt>
                <c:pt idx="11">
                  <c:v>4361846</c:v>
                </c:pt>
                <c:pt idx="12">
                  <c:v>7458522.0700000003</c:v>
                </c:pt>
                <c:pt idx="13">
                  <c:v>8282226.6600000001</c:v>
                </c:pt>
                <c:pt idx="14">
                  <c:v>11910437.83</c:v>
                </c:pt>
                <c:pt idx="15">
                  <c:v>10554168.609999999</c:v>
                </c:pt>
                <c:pt idx="16">
                  <c:v>10269457.76</c:v>
                </c:pt>
                <c:pt idx="17">
                  <c:v>19307240.010000002</c:v>
                </c:pt>
                <c:pt idx="18">
                  <c:v>11754111.58</c:v>
                </c:pt>
                <c:pt idx="19">
                  <c:v>3571284.39</c:v>
                </c:pt>
                <c:pt idx="20">
                  <c:v>21461616.73</c:v>
                </c:pt>
                <c:pt idx="21">
                  <c:v>25808437.600000001</c:v>
                </c:pt>
                <c:pt idx="22">
                  <c:v>11778331.609999999</c:v>
                </c:pt>
                <c:pt idx="23">
                  <c:v>9322542.6500000004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56-4990-9E71-98DDB37F7004}"/>
            </c:ext>
          </c:extLst>
        </c:ser>
        <c:ser>
          <c:idx val="1"/>
          <c:order val="1"/>
          <c:tx>
            <c:strRef>
              <c:f>'Cost Analysis'!$E$3</c:f>
              <c:strCache>
                <c:ptCount val="1"/>
                <c:pt idx="0">
                  <c:v>Total Distribution Cost (₹)</c:v>
                </c:pt>
              </c:strCache>
            </c:strRef>
          </c:tx>
          <c:spPr>
            <a:ln w="28575" cmpd="sng">
              <a:solidFill>
                <a:srgbClr val="C0504D"/>
              </a:solidFill>
              <a:prstDash val="solid"/>
            </a:ln>
          </c:spPr>
          <c:marker>
            <c:symbol val="none"/>
          </c:marker>
          <c:cat>
            <c:strRef>
              <c:f>'Cost Analysis'!$A$4:$A$27</c:f>
              <c:strCache>
                <c:ptCount val="24"/>
                <c:pt idx="0">
                  <c:v>Jan-2023</c:v>
                </c:pt>
                <c:pt idx="1">
                  <c:v>Feb-2023</c:v>
                </c:pt>
                <c:pt idx="2">
                  <c:v>Mar-2023</c:v>
                </c:pt>
                <c:pt idx="3">
                  <c:v>Apr-2023</c:v>
                </c:pt>
                <c:pt idx="4">
                  <c:v>May-2023</c:v>
                </c:pt>
                <c:pt idx="5">
                  <c:v>Jun-2023</c:v>
                </c:pt>
                <c:pt idx="6">
                  <c:v>Jul-2023</c:v>
                </c:pt>
                <c:pt idx="7">
                  <c:v>Aug-2023</c:v>
                </c:pt>
                <c:pt idx="8">
                  <c:v>Sep-2023</c:v>
                </c:pt>
                <c:pt idx="9">
                  <c:v>Oct-2023</c:v>
                </c:pt>
                <c:pt idx="10">
                  <c:v>Nov-2023</c:v>
                </c:pt>
                <c:pt idx="11">
                  <c:v>Dec-2023</c:v>
                </c:pt>
                <c:pt idx="12">
                  <c:v>Jan-2024</c:v>
                </c:pt>
                <c:pt idx="13">
                  <c:v>Feb-2024</c:v>
                </c:pt>
                <c:pt idx="14">
                  <c:v>Mar-2024</c:v>
                </c:pt>
                <c:pt idx="15">
                  <c:v>Apr-2024</c:v>
                </c:pt>
                <c:pt idx="16">
                  <c:v>May-2024</c:v>
                </c:pt>
                <c:pt idx="17">
                  <c:v>Jun-2024</c:v>
                </c:pt>
                <c:pt idx="18">
                  <c:v>Jul-2024</c:v>
                </c:pt>
                <c:pt idx="19">
                  <c:v>Aug-2024</c:v>
                </c:pt>
                <c:pt idx="20">
                  <c:v>Sep-2024</c:v>
                </c:pt>
                <c:pt idx="21">
                  <c:v>Oct-2024</c:v>
                </c:pt>
                <c:pt idx="22">
                  <c:v>Nov-2024</c:v>
                </c:pt>
                <c:pt idx="23">
                  <c:v>Dec-2024</c:v>
                </c:pt>
              </c:strCache>
            </c:strRef>
          </c:cat>
          <c:val>
            <c:numRef>
              <c:f>'Cost Analysis'!$E$4:$E$27</c:f>
              <c:numCache>
                <c:formatCode>\₹###,##0.00</c:formatCode>
                <c:ptCount val="24"/>
                <c:pt idx="0">
                  <c:v>5446264</c:v>
                </c:pt>
                <c:pt idx="1">
                  <c:v>1881388</c:v>
                </c:pt>
                <c:pt idx="2">
                  <c:v>7223392</c:v>
                </c:pt>
                <c:pt idx="3">
                  <c:v>4839445.5</c:v>
                </c:pt>
                <c:pt idx="4">
                  <c:v>1767274</c:v>
                </c:pt>
                <c:pt idx="5">
                  <c:v>2771900</c:v>
                </c:pt>
                <c:pt idx="6">
                  <c:v>6741099.3700000001</c:v>
                </c:pt>
                <c:pt idx="7">
                  <c:v>5096362</c:v>
                </c:pt>
                <c:pt idx="8">
                  <c:v>8315618.6799999997</c:v>
                </c:pt>
                <c:pt idx="9">
                  <c:v>2643119</c:v>
                </c:pt>
                <c:pt idx="10">
                  <c:v>3748446.75</c:v>
                </c:pt>
                <c:pt idx="11">
                  <c:v>1652708</c:v>
                </c:pt>
                <c:pt idx="12">
                  <c:v>3113324</c:v>
                </c:pt>
                <c:pt idx="13">
                  <c:v>4014119.41</c:v>
                </c:pt>
                <c:pt idx="14">
                  <c:v>3150892</c:v>
                </c:pt>
                <c:pt idx="15">
                  <c:v>4472814.8600000003</c:v>
                </c:pt>
                <c:pt idx="16">
                  <c:v>4452121.55</c:v>
                </c:pt>
                <c:pt idx="17">
                  <c:v>5714071.5</c:v>
                </c:pt>
                <c:pt idx="18">
                  <c:v>3143950</c:v>
                </c:pt>
                <c:pt idx="19">
                  <c:v>2146916.8199999998</c:v>
                </c:pt>
                <c:pt idx="20">
                  <c:v>4613204.5</c:v>
                </c:pt>
                <c:pt idx="21">
                  <c:v>5102755</c:v>
                </c:pt>
                <c:pt idx="22">
                  <c:v>2693139</c:v>
                </c:pt>
                <c:pt idx="23">
                  <c:v>3218194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56-4990-9E71-98DDB37F7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078180"/>
        <c:axId val="1345764914"/>
      </c:lineChart>
      <c:catAx>
        <c:axId val="7680781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1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45764914"/>
        <c:crosses val="autoZero"/>
        <c:auto val="1"/>
        <c:lblAlgn val="ctr"/>
        <c:lblOffset val="100"/>
        <c:noMultiLvlLbl val="1"/>
      </c:catAx>
      <c:valAx>
        <c:axId val="13457649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1" i="0">
                    <a:solidFill>
                      <a:srgbClr val="000000"/>
                    </a:solidFill>
                    <a:latin typeface="+mn-lt"/>
                  </a:rPr>
                  <a:t>₹ in Lakhs</a:t>
                </a:r>
              </a:p>
            </c:rich>
          </c:tx>
          <c:overlay val="0"/>
        </c:title>
        <c:numFmt formatCode="\₹##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6807818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IN" b="1" i="0">
                <a:solidFill>
                  <a:srgbClr val="757575"/>
                </a:solidFill>
                <a:latin typeface="+mn-lt"/>
              </a:rPr>
              <a:t>DC Workforce Productivity — Orders per Person per Day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'Workforce &amp; Ops'!$D$3</c:f>
              <c:strCache>
                <c:ptCount val="1"/>
                <c:pt idx="0">
                  <c:v>Orders per Person per Day</c:v>
                </c:pt>
              </c:strCache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'Workforce &amp; Ops'!$A$4:$A$27</c:f>
              <c:strCache>
                <c:ptCount val="24"/>
                <c:pt idx="0">
                  <c:v>Jan-2023</c:v>
                </c:pt>
                <c:pt idx="1">
                  <c:v>Feb-2023</c:v>
                </c:pt>
                <c:pt idx="2">
                  <c:v>Mar-2023</c:v>
                </c:pt>
                <c:pt idx="3">
                  <c:v>Apr-2023</c:v>
                </c:pt>
                <c:pt idx="4">
                  <c:v>May-2023</c:v>
                </c:pt>
                <c:pt idx="5">
                  <c:v>Jun-2023</c:v>
                </c:pt>
                <c:pt idx="6">
                  <c:v>Jul-2023</c:v>
                </c:pt>
                <c:pt idx="7">
                  <c:v>Aug-2023</c:v>
                </c:pt>
                <c:pt idx="8">
                  <c:v>Sep-2023</c:v>
                </c:pt>
                <c:pt idx="9">
                  <c:v>Oct-2023</c:v>
                </c:pt>
                <c:pt idx="10">
                  <c:v>Nov-2023</c:v>
                </c:pt>
                <c:pt idx="11">
                  <c:v>Dec-2023</c:v>
                </c:pt>
                <c:pt idx="12">
                  <c:v>Jan-2024</c:v>
                </c:pt>
                <c:pt idx="13">
                  <c:v>Feb-2024</c:v>
                </c:pt>
                <c:pt idx="14">
                  <c:v>Mar-2024</c:v>
                </c:pt>
                <c:pt idx="15">
                  <c:v>Apr-2024</c:v>
                </c:pt>
                <c:pt idx="16">
                  <c:v>May-2024</c:v>
                </c:pt>
                <c:pt idx="17">
                  <c:v>Jun-2024</c:v>
                </c:pt>
                <c:pt idx="18">
                  <c:v>Jul-2024</c:v>
                </c:pt>
                <c:pt idx="19">
                  <c:v>Aug-2024</c:v>
                </c:pt>
                <c:pt idx="20">
                  <c:v>Sep-2024</c:v>
                </c:pt>
                <c:pt idx="21">
                  <c:v>Oct-2024</c:v>
                </c:pt>
                <c:pt idx="22">
                  <c:v>Nov-2024</c:v>
                </c:pt>
                <c:pt idx="23">
                  <c:v>Dec-2024</c:v>
                </c:pt>
              </c:strCache>
            </c:strRef>
          </c:cat>
          <c:val>
            <c:numRef>
              <c:f>'Workforce &amp; Ops'!$D$4:$D$27</c:f>
              <c:numCache>
                <c:formatCode>General</c:formatCode>
                <c:ptCount val="24"/>
                <c:pt idx="0">
                  <c:v>1.7</c:v>
                </c:pt>
                <c:pt idx="1">
                  <c:v>1</c:v>
                </c:pt>
                <c:pt idx="2">
                  <c:v>0.8</c:v>
                </c:pt>
                <c:pt idx="3">
                  <c:v>2</c:v>
                </c:pt>
                <c:pt idx="4">
                  <c:v>1.9</c:v>
                </c:pt>
                <c:pt idx="5">
                  <c:v>1.8</c:v>
                </c:pt>
                <c:pt idx="6">
                  <c:v>1.1000000000000001</c:v>
                </c:pt>
                <c:pt idx="7">
                  <c:v>1.9</c:v>
                </c:pt>
                <c:pt idx="8">
                  <c:v>1.2</c:v>
                </c:pt>
                <c:pt idx="9">
                  <c:v>1.3</c:v>
                </c:pt>
                <c:pt idx="10">
                  <c:v>1.9</c:v>
                </c:pt>
                <c:pt idx="11">
                  <c:v>1.7</c:v>
                </c:pt>
                <c:pt idx="12">
                  <c:v>1.7</c:v>
                </c:pt>
                <c:pt idx="13">
                  <c:v>1.1000000000000001</c:v>
                </c:pt>
                <c:pt idx="14">
                  <c:v>1.8</c:v>
                </c:pt>
                <c:pt idx="15">
                  <c:v>2</c:v>
                </c:pt>
                <c:pt idx="16">
                  <c:v>1</c:v>
                </c:pt>
                <c:pt idx="17">
                  <c:v>1.9</c:v>
                </c:pt>
                <c:pt idx="18">
                  <c:v>2</c:v>
                </c:pt>
                <c:pt idx="19">
                  <c:v>1.4</c:v>
                </c:pt>
                <c:pt idx="20">
                  <c:v>1.4</c:v>
                </c:pt>
                <c:pt idx="21">
                  <c:v>1.6</c:v>
                </c:pt>
                <c:pt idx="22">
                  <c:v>2</c:v>
                </c:pt>
                <c:pt idx="23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71-4347-9748-B70DFD163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5963604"/>
        <c:axId val="1638269936"/>
      </c:lineChart>
      <c:catAx>
        <c:axId val="3859636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1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38269936"/>
        <c:crosses val="autoZero"/>
        <c:auto val="1"/>
        <c:lblAlgn val="ctr"/>
        <c:lblOffset val="100"/>
        <c:noMultiLvlLbl val="1"/>
      </c:catAx>
      <c:valAx>
        <c:axId val="16382699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1" i="0">
                    <a:solidFill>
                      <a:srgbClr val="000000"/>
                    </a:solidFill>
                    <a:latin typeface="+mn-lt"/>
                  </a:rPr>
                  <a:t>Orders per person per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8596360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IN" b="1" i="0">
                <a:solidFill>
                  <a:srgbClr val="757575"/>
                </a:solidFill>
                <a:latin typeface="+mn-lt"/>
              </a:rPr>
              <a:t>Monthly Absenteeism % vs Overtime Hours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'Workforce &amp; Ops'!$F$3</c:f>
              <c:strCache>
                <c:ptCount val="1"/>
                <c:pt idx="0">
                  <c:v>Overtime Hours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'Workforce &amp; Ops'!$A$4:$A$27</c:f>
              <c:strCache>
                <c:ptCount val="24"/>
                <c:pt idx="0">
                  <c:v>Jan-2023</c:v>
                </c:pt>
                <c:pt idx="1">
                  <c:v>Feb-2023</c:v>
                </c:pt>
                <c:pt idx="2">
                  <c:v>Mar-2023</c:v>
                </c:pt>
                <c:pt idx="3">
                  <c:v>Apr-2023</c:v>
                </c:pt>
                <c:pt idx="4">
                  <c:v>May-2023</c:v>
                </c:pt>
                <c:pt idx="5">
                  <c:v>Jun-2023</c:v>
                </c:pt>
                <c:pt idx="6">
                  <c:v>Jul-2023</c:v>
                </c:pt>
                <c:pt idx="7">
                  <c:v>Aug-2023</c:v>
                </c:pt>
                <c:pt idx="8">
                  <c:v>Sep-2023</c:v>
                </c:pt>
                <c:pt idx="9">
                  <c:v>Oct-2023</c:v>
                </c:pt>
                <c:pt idx="10">
                  <c:v>Nov-2023</c:v>
                </c:pt>
                <c:pt idx="11">
                  <c:v>Dec-2023</c:v>
                </c:pt>
                <c:pt idx="12">
                  <c:v>Jan-2024</c:v>
                </c:pt>
                <c:pt idx="13">
                  <c:v>Feb-2024</c:v>
                </c:pt>
                <c:pt idx="14">
                  <c:v>Mar-2024</c:v>
                </c:pt>
                <c:pt idx="15">
                  <c:v>Apr-2024</c:v>
                </c:pt>
                <c:pt idx="16">
                  <c:v>May-2024</c:v>
                </c:pt>
                <c:pt idx="17">
                  <c:v>Jun-2024</c:v>
                </c:pt>
                <c:pt idx="18">
                  <c:v>Jul-2024</c:v>
                </c:pt>
                <c:pt idx="19">
                  <c:v>Aug-2024</c:v>
                </c:pt>
                <c:pt idx="20">
                  <c:v>Sep-2024</c:v>
                </c:pt>
                <c:pt idx="21">
                  <c:v>Oct-2024</c:v>
                </c:pt>
                <c:pt idx="22">
                  <c:v>Nov-2024</c:v>
                </c:pt>
                <c:pt idx="23">
                  <c:v>Dec-2024</c:v>
                </c:pt>
              </c:strCache>
            </c:strRef>
          </c:cat>
          <c:val>
            <c:numRef>
              <c:f>'Workforce &amp; Ops'!$F$4:$F$27</c:f>
              <c:numCache>
                <c:formatCode>General</c:formatCode>
                <c:ptCount val="24"/>
                <c:pt idx="0">
                  <c:v>66</c:v>
                </c:pt>
                <c:pt idx="1">
                  <c:v>42</c:v>
                </c:pt>
                <c:pt idx="2">
                  <c:v>82</c:v>
                </c:pt>
                <c:pt idx="3">
                  <c:v>66</c:v>
                </c:pt>
                <c:pt idx="4">
                  <c:v>110</c:v>
                </c:pt>
                <c:pt idx="5">
                  <c:v>103</c:v>
                </c:pt>
                <c:pt idx="6">
                  <c:v>65</c:v>
                </c:pt>
                <c:pt idx="7">
                  <c:v>37</c:v>
                </c:pt>
                <c:pt idx="8">
                  <c:v>43</c:v>
                </c:pt>
                <c:pt idx="9">
                  <c:v>81</c:v>
                </c:pt>
                <c:pt idx="10">
                  <c:v>22</c:v>
                </c:pt>
                <c:pt idx="11">
                  <c:v>93</c:v>
                </c:pt>
                <c:pt idx="12">
                  <c:v>96</c:v>
                </c:pt>
                <c:pt idx="13">
                  <c:v>80</c:v>
                </c:pt>
                <c:pt idx="14">
                  <c:v>94</c:v>
                </c:pt>
                <c:pt idx="15">
                  <c:v>78</c:v>
                </c:pt>
                <c:pt idx="16">
                  <c:v>45</c:v>
                </c:pt>
                <c:pt idx="17">
                  <c:v>80</c:v>
                </c:pt>
                <c:pt idx="18">
                  <c:v>97</c:v>
                </c:pt>
                <c:pt idx="19">
                  <c:v>109</c:v>
                </c:pt>
                <c:pt idx="20">
                  <c:v>114</c:v>
                </c:pt>
                <c:pt idx="21">
                  <c:v>30</c:v>
                </c:pt>
                <c:pt idx="22">
                  <c:v>20</c:v>
                </c:pt>
                <c:pt idx="23">
                  <c:v>60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22B-49D0-BE07-03920B39D8F3}"/>
            </c:ext>
          </c:extLst>
        </c:ser>
        <c:ser>
          <c:idx val="1"/>
          <c:order val="1"/>
          <c:tx>
            <c:strRef>
              <c:f>'Workforce &amp; Ops'!$G$3</c:f>
              <c:strCache>
                <c:ptCount val="1"/>
                <c:pt idx="0">
                  <c:v>Absenteeism %</c:v>
                </c:pt>
              </c:strCache>
            </c:strRef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'Workforce &amp; Ops'!$A$4:$A$27</c:f>
              <c:strCache>
                <c:ptCount val="24"/>
                <c:pt idx="0">
                  <c:v>Jan-2023</c:v>
                </c:pt>
                <c:pt idx="1">
                  <c:v>Feb-2023</c:v>
                </c:pt>
                <c:pt idx="2">
                  <c:v>Mar-2023</c:v>
                </c:pt>
                <c:pt idx="3">
                  <c:v>Apr-2023</c:v>
                </c:pt>
                <c:pt idx="4">
                  <c:v>May-2023</c:v>
                </c:pt>
                <c:pt idx="5">
                  <c:v>Jun-2023</c:v>
                </c:pt>
                <c:pt idx="6">
                  <c:v>Jul-2023</c:v>
                </c:pt>
                <c:pt idx="7">
                  <c:v>Aug-2023</c:v>
                </c:pt>
                <c:pt idx="8">
                  <c:v>Sep-2023</c:v>
                </c:pt>
                <c:pt idx="9">
                  <c:v>Oct-2023</c:v>
                </c:pt>
                <c:pt idx="10">
                  <c:v>Nov-2023</c:v>
                </c:pt>
                <c:pt idx="11">
                  <c:v>Dec-2023</c:v>
                </c:pt>
                <c:pt idx="12">
                  <c:v>Jan-2024</c:v>
                </c:pt>
                <c:pt idx="13">
                  <c:v>Feb-2024</c:v>
                </c:pt>
                <c:pt idx="14">
                  <c:v>Mar-2024</c:v>
                </c:pt>
                <c:pt idx="15">
                  <c:v>Apr-2024</c:v>
                </c:pt>
                <c:pt idx="16">
                  <c:v>May-2024</c:v>
                </c:pt>
                <c:pt idx="17">
                  <c:v>Jun-2024</c:v>
                </c:pt>
                <c:pt idx="18">
                  <c:v>Jul-2024</c:v>
                </c:pt>
                <c:pt idx="19">
                  <c:v>Aug-2024</c:v>
                </c:pt>
                <c:pt idx="20">
                  <c:v>Sep-2024</c:v>
                </c:pt>
                <c:pt idx="21">
                  <c:v>Oct-2024</c:v>
                </c:pt>
                <c:pt idx="22">
                  <c:v>Nov-2024</c:v>
                </c:pt>
                <c:pt idx="23">
                  <c:v>Dec-2024</c:v>
                </c:pt>
              </c:strCache>
            </c:strRef>
          </c:cat>
          <c:val>
            <c:numRef>
              <c:f>'Workforce &amp; Ops'!$G$4:$G$27</c:f>
              <c:numCache>
                <c:formatCode>0.00</c:formatCode>
                <c:ptCount val="24"/>
                <c:pt idx="0">
                  <c:v>5.3</c:v>
                </c:pt>
                <c:pt idx="1">
                  <c:v>5.7</c:v>
                </c:pt>
                <c:pt idx="2">
                  <c:v>3.5</c:v>
                </c:pt>
                <c:pt idx="3">
                  <c:v>4.5</c:v>
                </c:pt>
                <c:pt idx="4">
                  <c:v>8.3000000000000007</c:v>
                </c:pt>
                <c:pt idx="5">
                  <c:v>4.5</c:v>
                </c:pt>
                <c:pt idx="6">
                  <c:v>7.3</c:v>
                </c:pt>
                <c:pt idx="7">
                  <c:v>4.9000000000000004</c:v>
                </c:pt>
                <c:pt idx="8">
                  <c:v>3</c:v>
                </c:pt>
                <c:pt idx="9">
                  <c:v>6.4</c:v>
                </c:pt>
                <c:pt idx="10">
                  <c:v>3.6</c:v>
                </c:pt>
                <c:pt idx="11">
                  <c:v>3</c:v>
                </c:pt>
                <c:pt idx="12">
                  <c:v>8.3000000000000007</c:v>
                </c:pt>
                <c:pt idx="13">
                  <c:v>7.6</c:v>
                </c:pt>
                <c:pt idx="14">
                  <c:v>7.3</c:v>
                </c:pt>
                <c:pt idx="15">
                  <c:v>5.9</c:v>
                </c:pt>
                <c:pt idx="16">
                  <c:v>5.4</c:v>
                </c:pt>
                <c:pt idx="17">
                  <c:v>7.9</c:v>
                </c:pt>
                <c:pt idx="18">
                  <c:v>5.5</c:v>
                </c:pt>
                <c:pt idx="19">
                  <c:v>5.4</c:v>
                </c:pt>
                <c:pt idx="20">
                  <c:v>7.9</c:v>
                </c:pt>
                <c:pt idx="21">
                  <c:v>3.8</c:v>
                </c:pt>
                <c:pt idx="22">
                  <c:v>5.8</c:v>
                </c:pt>
                <c:pt idx="23">
                  <c:v>4.7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22B-49D0-BE07-03920B39D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295457"/>
        <c:axId val="259296811"/>
      </c:barChart>
      <c:catAx>
        <c:axId val="592954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9296811"/>
        <c:crosses val="autoZero"/>
        <c:auto val="1"/>
        <c:lblAlgn val="ctr"/>
        <c:lblOffset val="100"/>
        <c:noMultiLvlLbl val="1"/>
      </c:catAx>
      <c:valAx>
        <c:axId val="2592968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929545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IN" b="1" i="0">
                <a:solidFill>
                  <a:srgbClr val="757575"/>
                </a:solidFill>
                <a:latin typeface="+mn-lt"/>
              </a:rPr>
              <a:t>Monthly Safety Incidents — Distribution Center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'Workforce &amp; Ops'!$I$3</c:f>
              <c:strCache>
                <c:ptCount val="1"/>
                <c:pt idx="0">
                  <c:v>Safety Incidents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'Workforce &amp; Ops'!$A$4:$A$27</c:f>
              <c:strCache>
                <c:ptCount val="24"/>
                <c:pt idx="0">
                  <c:v>Jan-2023</c:v>
                </c:pt>
                <c:pt idx="1">
                  <c:v>Feb-2023</c:v>
                </c:pt>
                <c:pt idx="2">
                  <c:v>Mar-2023</c:v>
                </c:pt>
                <c:pt idx="3">
                  <c:v>Apr-2023</c:v>
                </c:pt>
                <c:pt idx="4">
                  <c:v>May-2023</c:v>
                </c:pt>
                <c:pt idx="5">
                  <c:v>Jun-2023</c:v>
                </c:pt>
                <c:pt idx="6">
                  <c:v>Jul-2023</c:v>
                </c:pt>
                <c:pt idx="7">
                  <c:v>Aug-2023</c:v>
                </c:pt>
                <c:pt idx="8">
                  <c:v>Sep-2023</c:v>
                </c:pt>
                <c:pt idx="9">
                  <c:v>Oct-2023</c:v>
                </c:pt>
                <c:pt idx="10">
                  <c:v>Nov-2023</c:v>
                </c:pt>
                <c:pt idx="11">
                  <c:v>Dec-2023</c:v>
                </c:pt>
                <c:pt idx="12">
                  <c:v>Jan-2024</c:v>
                </c:pt>
                <c:pt idx="13">
                  <c:v>Feb-2024</c:v>
                </c:pt>
                <c:pt idx="14">
                  <c:v>Mar-2024</c:v>
                </c:pt>
                <c:pt idx="15">
                  <c:v>Apr-2024</c:v>
                </c:pt>
                <c:pt idx="16">
                  <c:v>May-2024</c:v>
                </c:pt>
                <c:pt idx="17">
                  <c:v>Jun-2024</c:v>
                </c:pt>
                <c:pt idx="18">
                  <c:v>Jul-2024</c:v>
                </c:pt>
                <c:pt idx="19">
                  <c:v>Aug-2024</c:v>
                </c:pt>
                <c:pt idx="20">
                  <c:v>Sep-2024</c:v>
                </c:pt>
                <c:pt idx="21">
                  <c:v>Oct-2024</c:v>
                </c:pt>
                <c:pt idx="22">
                  <c:v>Nov-2024</c:v>
                </c:pt>
                <c:pt idx="23">
                  <c:v>Dec-2024</c:v>
                </c:pt>
              </c:strCache>
            </c:strRef>
          </c:cat>
          <c:val>
            <c:numRef>
              <c:f>'Workforce &amp; Ops'!$I$4:$I$27</c:f>
              <c:numCache>
                <c:formatCode>General</c:formatCode>
                <c:ptCount val="24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3</c:v>
                </c:pt>
                <c:pt idx="17">
                  <c:v>0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0</c:v>
                </c:pt>
                <c:pt idx="23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C67-4C47-BBA6-A2E39495A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3773121"/>
        <c:axId val="2061935797"/>
      </c:barChart>
      <c:catAx>
        <c:axId val="9037731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61935797"/>
        <c:crosses val="autoZero"/>
        <c:auto val="1"/>
        <c:lblAlgn val="ctr"/>
        <c:lblOffset val="100"/>
        <c:noMultiLvlLbl val="1"/>
      </c:catAx>
      <c:valAx>
        <c:axId val="20619357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0377312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IN" b="1" i="0">
                <a:solidFill>
                  <a:srgbClr val="757575"/>
                </a:solidFill>
                <a:latin typeface="+mn-lt"/>
              </a:rPr>
              <a:t>What-If Scenario: Current vs Projected KPI Performance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'What-If Simulator'!$B$22</c:f>
              <c:strCache>
                <c:ptCount val="1"/>
                <c:pt idx="0">
                  <c:v>Current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'What-If Simulator'!$A$23:$A$28</c:f>
              <c:strCache>
                <c:ptCount val="6"/>
                <c:pt idx="0">
                  <c:v>OTD %</c:v>
                </c:pt>
                <c:pt idx="1">
                  <c:v>Inventory Turnover</c:v>
                </c:pt>
                <c:pt idx="2">
                  <c:v>Freight Cost %</c:v>
                </c:pt>
                <c:pt idx="3">
                  <c:v>Stockout Rate</c:v>
                </c:pt>
                <c:pt idx="4">
                  <c:v>Lead Time</c:v>
                </c:pt>
                <c:pt idx="5">
                  <c:v>Productivity</c:v>
                </c:pt>
              </c:strCache>
            </c:strRef>
          </c:cat>
          <c:val>
            <c:numRef>
              <c:f>'What-If Simulator'!$B$23:$B$28</c:f>
              <c:numCache>
                <c:formatCode>General</c:formatCode>
                <c:ptCount val="6"/>
                <c:pt idx="0">
                  <c:v>82</c:v>
                </c:pt>
                <c:pt idx="1">
                  <c:v>3.2</c:v>
                </c:pt>
                <c:pt idx="2">
                  <c:v>8.5</c:v>
                </c:pt>
                <c:pt idx="3">
                  <c:v>4.2</c:v>
                </c:pt>
                <c:pt idx="4">
                  <c:v>18</c:v>
                </c:pt>
                <c:pt idx="5">
                  <c:v>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F1D-47AE-9F94-0B5359A9CBD9}"/>
            </c:ext>
          </c:extLst>
        </c:ser>
        <c:ser>
          <c:idx val="1"/>
          <c:order val="1"/>
          <c:tx>
            <c:strRef>
              <c:f>'What-If Simulator'!$C$22</c:f>
              <c:strCache>
                <c:ptCount val="1"/>
                <c:pt idx="0">
                  <c:v>Projected</c:v>
                </c:pt>
              </c:strCache>
            </c:strRef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'What-If Simulator'!$A$23:$A$28</c:f>
              <c:strCache>
                <c:ptCount val="6"/>
                <c:pt idx="0">
                  <c:v>OTD %</c:v>
                </c:pt>
                <c:pt idx="1">
                  <c:v>Inventory Turnover</c:v>
                </c:pt>
                <c:pt idx="2">
                  <c:v>Freight Cost %</c:v>
                </c:pt>
                <c:pt idx="3">
                  <c:v>Stockout Rate</c:v>
                </c:pt>
                <c:pt idx="4">
                  <c:v>Lead Time</c:v>
                </c:pt>
                <c:pt idx="5">
                  <c:v>Productivity</c:v>
                </c:pt>
              </c:strCache>
            </c:strRef>
          </c:cat>
          <c:val>
            <c:numRef>
              <c:f>'What-If Simulator'!$C$23:$C$28</c:f>
              <c:numCache>
                <c:formatCode>General</c:formatCode>
                <c:ptCount val="6"/>
                <c:pt idx="0">
                  <c:v>90</c:v>
                </c:pt>
                <c:pt idx="1">
                  <c:v>4.5</c:v>
                </c:pt>
                <c:pt idx="2">
                  <c:v>7.2</c:v>
                </c:pt>
                <c:pt idx="3">
                  <c:v>3</c:v>
                </c:pt>
                <c:pt idx="4">
                  <c:v>14</c:v>
                </c:pt>
                <c:pt idx="5">
                  <c:v>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F1D-47AE-9F94-0B5359A9C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0074948"/>
        <c:axId val="954422141"/>
      </c:barChart>
      <c:catAx>
        <c:axId val="7400749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54422141"/>
        <c:crosses val="autoZero"/>
        <c:auto val="1"/>
        <c:lblAlgn val="ctr"/>
        <c:lblOffset val="100"/>
        <c:noMultiLvlLbl val="1"/>
      </c:catAx>
      <c:valAx>
        <c:axId val="95442214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40074948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40574</xdr:colOff>
      <xdr:row>0</xdr:row>
      <xdr:rowOff>99949</xdr:rowOff>
    </xdr:from>
    <xdr:ext cx="6152408" cy="6467105"/>
    <xdr:graphicFrame macro="">
      <xdr:nvGraphicFramePr>
        <xdr:cNvPr id="17" name="Chart 17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103909</xdr:colOff>
      <xdr:row>0</xdr:row>
      <xdr:rowOff>77189</xdr:rowOff>
    </xdr:from>
    <xdr:ext cx="5753100" cy="3238500"/>
    <xdr:graphicFrame macro="">
      <xdr:nvGraphicFramePr>
        <xdr:cNvPr id="18" name="Chart 18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15</xdr:col>
      <xdr:colOff>204849</xdr:colOff>
      <xdr:row>12</xdr:row>
      <xdr:rowOff>110836</xdr:rowOff>
    </xdr:from>
    <xdr:ext cx="5753100" cy="3238500"/>
    <xdr:graphicFrame macro="">
      <xdr:nvGraphicFramePr>
        <xdr:cNvPr id="19" name="Chart 19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99060</xdr:colOff>
          <xdr:row>28</xdr:row>
          <xdr:rowOff>68580</xdr:rowOff>
        </xdr:from>
        <xdr:to>
          <xdr:col>2</xdr:col>
          <xdr:colOff>480060</xdr:colOff>
          <xdr:row>30</xdr:row>
          <xdr:rowOff>83820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1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RefreshDashboard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45720</xdr:colOff>
          <xdr:row>28</xdr:row>
          <xdr:rowOff>76200</xdr:rowOff>
        </xdr:from>
        <xdr:to>
          <xdr:col>5</xdr:col>
          <xdr:colOff>304800</xdr:colOff>
          <xdr:row>30</xdr:row>
          <xdr:rowOff>99060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1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HighlightStockoutRisk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502920</xdr:colOff>
          <xdr:row>28</xdr:row>
          <xdr:rowOff>99060</xdr:rowOff>
        </xdr:from>
        <xdr:to>
          <xdr:col>6</xdr:col>
          <xdr:colOff>1341120</xdr:colOff>
          <xdr:row>30</xdr:row>
          <xdr:rowOff>83820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1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ExportKPISummary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1729740</xdr:colOff>
          <xdr:row>28</xdr:row>
          <xdr:rowOff>152400</xdr:rowOff>
        </xdr:from>
        <xdr:to>
          <xdr:col>9</xdr:col>
          <xdr:colOff>457200</xdr:colOff>
          <xdr:row>30</xdr:row>
          <xdr:rowOff>175260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1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GenerateCityReport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346365</xdr:colOff>
      <xdr:row>2</xdr:row>
      <xdr:rowOff>55417</xdr:rowOff>
    </xdr:from>
    <xdr:ext cx="7191375" cy="50387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13</xdr:col>
      <xdr:colOff>444765</xdr:colOff>
      <xdr:row>30</xdr:row>
      <xdr:rowOff>8481</xdr:rowOff>
    </xdr:from>
    <xdr:to>
      <xdr:col>22</xdr:col>
      <xdr:colOff>348344</xdr:colOff>
      <xdr:row>46</xdr:row>
      <xdr:rowOff>174172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431ED2-2972-AD56-5738-2D40E3AF9A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54429</xdr:colOff>
      <xdr:row>34</xdr:row>
      <xdr:rowOff>32657</xdr:rowOff>
    </xdr:from>
    <xdr:ext cx="9353550" cy="5038725"/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40</xdr:row>
      <xdr:rowOff>130629</xdr:rowOff>
    </xdr:from>
    <xdr:ext cx="7915275" cy="3590925"/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7915275" cy="4314825"/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0</xdr:colOff>
      <xdr:row>13</xdr:row>
      <xdr:rowOff>0</xdr:rowOff>
    </xdr:from>
    <xdr:ext cx="6477000" cy="4314825"/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285750</xdr:colOff>
      <xdr:row>3</xdr:row>
      <xdr:rowOff>133350</xdr:rowOff>
    </xdr:from>
    <xdr:ext cx="7915275" cy="4314825"/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489858</xdr:colOff>
      <xdr:row>31</xdr:row>
      <xdr:rowOff>19050</xdr:rowOff>
    </xdr:from>
    <xdr:ext cx="7892142" cy="5924550"/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152400</xdr:colOff>
      <xdr:row>17</xdr:row>
      <xdr:rowOff>171450</xdr:rowOff>
    </xdr:from>
    <xdr:ext cx="10115550" cy="5105400"/>
    <xdr:graphicFrame macro="">
      <xdr:nvGraphicFramePr>
        <xdr:cNvPr id="9" name="Chart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274864</xdr:colOff>
      <xdr:row>46</xdr:row>
      <xdr:rowOff>185058</xdr:rowOff>
    </xdr:from>
    <xdr:ext cx="10126436" cy="5282292"/>
    <xdr:graphicFrame macro="">
      <xdr:nvGraphicFramePr>
        <xdr:cNvPr id="10" name="Chart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35</xdr:row>
      <xdr:rowOff>0</xdr:rowOff>
    </xdr:from>
    <xdr:ext cx="5038725" cy="5038725"/>
    <xdr:graphicFrame macro="">
      <xdr:nvGraphicFramePr>
        <xdr:cNvPr id="11" name="Chart 11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326780</xdr:colOff>
      <xdr:row>0</xdr:row>
      <xdr:rowOff>95250</xdr:rowOff>
    </xdr:from>
    <xdr:ext cx="9353550" cy="4314825"/>
    <xdr:graphicFrame macro="">
      <xdr:nvGraphicFramePr>
        <xdr:cNvPr id="12" name="Chart 12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4</xdr:col>
      <xdr:colOff>0</xdr:colOff>
      <xdr:row>35</xdr:row>
      <xdr:rowOff>136769</xdr:rowOff>
    </xdr:from>
    <xdr:ext cx="9353550" cy="4676775"/>
    <xdr:graphicFrame macro="">
      <xdr:nvGraphicFramePr>
        <xdr:cNvPr id="13" name="Chart 13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37</xdr:row>
      <xdr:rowOff>121920</xdr:rowOff>
    </xdr:from>
    <xdr:ext cx="7915275" cy="3952875"/>
    <xdr:graphicFrame macro="">
      <xdr:nvGraphicFramePr>
        <xdr:cNvPr id="14" name="Chart 14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762000</xdr:colOff>
      <xdr:row>37</xdr:row>
      <xdr:rowOff>152400</xdr:rowOff>
    </xdr:from>
    <xdr:ext cx="7915275" cy="3952875"/>
    <xdr:graphicFrame macro="">
      <xdr:nvGraphicFramePr>
        <xdr:cNvPr id="15" name="Chart 15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10</xdr:col>
      <xdr:colOff>283029</xdr:colOff>
      <xdr:row>0</xdr:row>
      <xdr:rowOff>95794</xdr:rowOff>
    </xdr:from>
    <xdr:ext cx="6477000" cy="3590925"/>
    <xdr:graphicFrame macro="">
      <xdr:nvGraphicFramePr>
        <xdr:cNvPr id="16" name="Chart 16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160020</xdr:colOff>
      <xdr:row>0</xdr:row>
      <xdr:rowOff>91440</xdr:rowOff>
    </xdr:from>
    <xdr:ext cx="7915275" cy="5038725"/>
    <xdr:graphicFrame macro="">
      <xdr:nvGraphicFramePr>
        <xdr:cNvPr id="20" name="Chart 20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7BC4B9-2610-41F2-8CD4-C9F30474F7DE}" name="Table2" displayName="Table2" ref="A101:D104" totalsRowShown="0" headerRowDxfId="12">
  <autoFilter ref="A101:D104" xr:uid="{287BC4B9-2610-41F2-8CD4-C9F30474F7DE}"/>
  <tableColumns count="4">
    <tableColumn id="1" xr3:uid="{62B96F1B-C5F8-4FF3-8DFD-E9DF55E431ED}" name="Class"/>
    <tableColumn id="2" xr3:uid="{DE6AFACE-A541-462A-8BC0-19619F649BCB}" name="Item Count" dataDxfId="15"/>
    <tableColumn id="3" xr3:uid="{AD2284A8-7248-4CBA-B621-531D8B396BD7}" name="% of Total COGS" dataDxfId="14">
      <calculatedColumnFormula>B102/94</calculatedColumnFormula>
    </tableColumn>
    <tableColumn id="4" xr3:uid="{772AA916-A22B-4C25-88AA-6860CF3C3873}" name="Recommendation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8154D8-FF4D-4E7E-B31D-355F36EC3B8B}" name="Table1" displayName="Table1" ref="A31:B34" totalsRowShown="0" headerRowDxfId="16" dataDxfId="17">
  <autoFilter ref="A31:B34" xr:uid="{158154D8-FF4D-4E7E-B31D-355F36EC3B8B}"/>
  <tableColumns count="2">
    <tableColumn id="1" xr3:uid="{D70931E3-9CE4-4847-823F-297C5C1CB290}" name="Cost Category" dataDxfId="19"/>
    <tableColumn id="2" xr3:uid="{C6B161AC-3D71-47DB-B447-0621C1AC3EA0}" name="Annual Value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951F08-AB74-42A1-B560-18BE3CE6B084}" name="Table3" displayName="Table3" ref="A22:C28" totalsRowShown="0" headerRowDxfId="7" dataDxfId="8">
  <autoFilter ref="A22:C28" xr:uid="{93951F08-AB74-42A1-B560-18BE3CE6B084}"/>
  <tableColumns count="3">
    <tableColumn id="1" xr3:uid="{723420DB-5E83-4B5A-B348-DA9B17336C54}" name="KPI" dataDxfId="11"/>
    <tableColumn id="2" xr3:uid="{74E5D9AB-46D8-4EB8-8776-1681C4C63CD1}" name="Current" dataDxfId="10"/>
    <tableColumn id="3" xr3:uid="{9F13173E-DE80-43BE-8B1B-D377C417F07D}" name="Projected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000"/>
  <sheetViews>
    <sheetView showGridLines="0" zoomScale="97" zoomScaleNormal="130" workbookViewId="0">
      <selection activeCell="B3" sqref="B3:J3"/>
    </sheetView>
  </sheetViews>
  <sheetFormatPr defaultColWidth="14.44140625" defaultRowHeight="15" customHeight="1" x14ac:dyDescent="0.3"/>
  <cols>
    <col min="1" max="11" width="18" customWidth="1"/>
    <col min="12" max="26" width="8.6640625" customWidth="1"/>
  </cols>
  <sheetData>
    <row r="1" spans="1:13" ht="14.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3" ht="14.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3" ht="39.75" customHeight="1" x14ac:dyDescent="0.3">
      <c r="A3" s="1"/>
      <c r="B3" s="61" t="s">
        <v>748</v>
      </c>
      <c r="C3" s="36"/>
      <c r="D3" s="36"/>
      <c r="E3" s="36"/>
      <c r="F3" s="36"/>
      <c r="G3" s="36"/>
      <c r="H3" s="36"/>
      <c r="I3" s="36"/>
      <c r="J3" s="37"/>
      <c r="K3" s="1"/>
    </row>
    <row r="4" spans="1:13" ht="3.75" customHeight="1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1"/>
    </row>
    <row r="5" spans="1:13" ht="14.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3" ht="24.75" customHeight="1" x14ac:dyDescent="0.3">
      <c r="A6" s="1"/>
      <c r="B6" s="38" t="s">
        <v>0</v>
      </c>
      <c r="C6" s="36"/>
      <c r="D6" s="36"/>
      <c r="E6" s="36"/>
      <c r="F6" s="36"/>
      <c r="G6" s="36"/>
      <c r="H6" s="36"/>
      <c r="I6" s="36"/>
      <c r="J6" s="37"/>
      <c r="K6" s="1"/>
    </row>
    <row r="7" spans="1:13" ht="14.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3" x14ac:dyDescent="0.3">
      <c r="A8" s="1"/>
      <c r="B8" s="39" t="s">
        <v>742</v>
      </c>
      <c r="C8" s="36"/>
      <c r="D8" s="36"/>
      <c r="E8" s="36"/>
      <c r="F8" s="36"/>
      <c r="G8" s="36"/>
      <c r="H8" s="36"/>
      <c r="I8" s="36"/>
      <c r="J8" s="37"/>
      <c r="K8" s="1"/>
    </row>
    <row r="9" spans="1:13" ht="14.4" x14ac:dyDescent="0.3">
      <c r="A9" s="1"/>
      <c r="B9" s="40" t="s">
        <v>743</v>
      </c>
      <c r="C9" s="36"/>
      <c r="D9" s="36"/>
      <c r="E9" s="36"/>
      <c r="F9" s="36"/>
      <c r="G9" s="36"/>
      <c r="H9" s="36"/>
      <c r="I9" s="36"/>
      <c r="J9" s="37"/>
      <c r="K9" s="1"/>
    </row>
    <row r="10" spans="1:13" ht="14.4" x14ac:dyDescent="0.3">
      <c r="A10" s="1"/>
      <c r="B10" s="40" t="s">
        <v>1</v>
      </c>
      <c r="C10" s="36"/>
      <c r="D10" s="36"/>
      <c r="E10" s="36"/>
      <c r="F10" s="36"/>
      <c r="G10" s="36"/>
      <c r="H10" s="36"/>
      <c r="I10" s="36"/>
      <c r="J10" s="37"/>
      <c r="K10" s="1"/>
    </row>
    <row r="11" spans="1:13" ht="14.4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3" ht="51.6" customHeight="1" x14ac:dyDescent="0.3">
      <c r="A12" s="1"/>
      <c r="B12" s="49" t="s">
        <v>2</v>
      </c>
      <c r="C12" s="36"/>
      <c r="D12" s="36"/>
      <c r="E12" s="36"/>
      <c r="F12" s="36"/>
      <c r="G12" s="36"/>
      <c r="H12" s="36"/>
      <c r="I12" s="36"/>
      <c r="J12" s="37"/>
      <c r="K12" s="1"/>
    </row>
    <row r="13" spans="1:13" ht="14.4" x14ac:dyDescent="0.3">
      <c r="A13" s="1"/>
      <c r="B13" s="1"/>
      <c r="C13" s="1"/>
      <c r="D13" s="94" t="s">
        <v>3</v>
      </c>
      <c r="E13" s="95"/>
      <c r="F13" s="95"/>
      <c r="G13" s="95"/>
      <c r="H13" s="96"/>
      <c r="I13" s="1"/>
      <c r="J13" s="1"/>
      <c r="K13" s="1"/>
    </row>
    <row r="14" spans="1:13" ht="14.4" x14ac:dyDescent="0.3">
      <c r="A14" s="1"/>
      <c r="B14" s="1"/>
      <c r="C14" s="1"/>
      <c r="D14" s="94" t="s">
        <v>10</v>
      </c>
      <c r="E14" s="95"/>
      <c r="F14" s="95"/>
      <c r="G14" s="95"/>
      <c r="H14" s="96"/>
      <c r="I14" s="1"/>
      <c r="J14" s="1"/>
      <c r="K14" s="1"/>
      <c r="L14" s="67"/>
      <c r="M14" s="67"/>
    </row>
    <row r="15" spans="1:13" ht="14.4" x14ac:dyDescent="0.3">
      <c r="A15" s="1"/>
      <c r="B15" s="1"/>
      <c r="C15" s="1"/>
      <c r="D15" s="94" t="s">
        <v>4</v>
      </c>
      <c r="E15" s="95"/>
      <c r="F15" s="95"/>
      <c r="G15" s="95"/>
      <c r="H15" s="96"/>
      <c r="I15" s="1"/>
      <c r="J15" s="1"/>
      <c r="K15" s="1"/>
      <c r="L15" s="67"/>
      <c r="M15" s="67"/>
    </row>
    <row r="16" spans="1:13" ht="14.4" x14ac:dyDescent="0.3">
      <c r="A16" s="1"/>
      <c r="B16" s="1"/>
      <c r="C16" s="1"/>
      <c r="D16" s="94" t="s">
        <v>5</v>
      </c>
      <c r="E16" s="95"/>
      <c r="F16" s="95"/>
      <c r="G16" s="95"/>
      <c r="H16" s="96"/>
      <c r="I16" s="1"/>
      <c r="J16" s="1"/>
      <c r="K16" s="1"/>
      <c r="L16" s="68"/>
      <c r="M16" s="68"/>
    </row>
    <row r="17" spans="1:13" ht="14.4" x14ac:dyDescent="0.3">
      <c r="A17" s="1"/>
      <c r="B17" s="1"/>
      <c r="C17" s="1"/>
      <c r="D17" s="94" t="s">
        <v>6</v>
      </c>
      <c r="E17" s="95"/>
      <c r="F17" s="95"/>
      <c r="G17" s="95"/>
      <c r="H17" s="96"/>
      <c r="I17" s="1"/>
      <c r="J17" s="1"/>
      <c r="K17" s="1"/>
      <c r="L17" s="67"/>
      <c r="M17" s="67"/>
    </row>
    <row r="18" spans="1:13" ht="14.4" x14ac:dyDescent="0.3">
      <c r="A18" s="1"/>
      <c r="B18" s="1"/>
      <c r="C18" s="1"/>
      <c r="D18" s="94" t="s">
        <v>7</v>
      </c>
      <c r="E18" s="95"/>
      <c r="F18" s="95"/>
      <c r="G18" s="95"/>
      <c r="H18" s="96"/>
      <c r="I18" s="1"/>
      <c r="J18" s="1"/>
      <c r="K18" s="1"/>
    </row>
    <row r="19" spans="1:13" ht="14.4" x14ac:dyDescent="0.3">
      <c r="A19" s="69"/>
      <c r="B19" s="69"/>
      <c r="C19" s="69"/>
      <c r="D19" s="94" t="s">
        <v>8</v>
      </c>
      <c r="E19" s="95"/>
      <c r="F19" s="95"/>
      <c r="G19" s="95"/>
      <c r="H19" s="96"/>
      <c r="I19" s="69"/>
      <c r="J19" s="69"/>
      <c r="K19" s="69"/>
    </row>
    <row r="20" spans="1:13" ht="14.4" x14ac:dyDescent="0.3">
      <c r="A20" s="1"/>
      <c r="B20" s="1"/>
      <c r="C20" s="1"/>
      <c r="D20" s="94" t="s">
        <v>9</v>
      </c>
      <c r="E20" s="95"/>
      <c r="F20" s="95"/>
      <c r="G20" s="95"/>
      <c r="H20" s="96"/>
      <c r="I20" s="1"/>
      <c r="J20" s="1"/>
      <c r="K20" s="1"/>
    </row>
    <row r="21" spans="1:13" ht="14.4" x14ac:dyDescent="0.3">
      <c r="A21" s="1"/>
      <c r="B21" s="1"/>
      <c r="C21" s="1"/>
      <c r="D21" s="94" t="s">
        <v>11</v>
      </c>
      <c r="E21" s="95"/>
      <c r="F21" s="95"/>
      <c r="G21" s="95"/>
      <c r="H21" s="96"/>
      <c r="I21" s="1"/>
      <c r="J21" s="1"/>
      <c r="K21" s="1"/>
    </row>
    <row r="22" spans="1:13" ht="27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3" ht="27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3" ht="27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3" ht="27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3" ht="27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3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3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3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3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3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3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5.75" customHeight="1" x14ac:dyDescent="0.3"/>
    <row r="46" spans="1:11" ht="15.75" customHeight="1" x14ac:dyDescent="0.3"/>
    <row r="47" spans="1:11" ht="15.75" customHeight="1" x14ac:dyDescent="0.3"/>
    <row r="48" spans="1:1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5">
    <mergeCell ref="D19:H19"/>
    <mergeCell ref="B12:J12"/>
    <mergeCell ref="D18:H18"/>
    <mergeCell ref="D20:H20"/>
    <mergeCell ref="D21:H21"/>
    <mergeCell ref="D13:H13"/>
    <mergeCell ref="D14:H14"/>
    <mergeCell ref="D15:H15"/>
    <mergeCell ref="D16:H16"/>
    <mergeCell ref="D17:H17"/>
    <mergeCell ref="B3:J3"/>
    <mergeCell ref="B6:J6"/>
    <mergeCell ref="B8:J8"/>
    <mergeCell ref="B9:J9"/>
    <mergeCell ref="B10:J10"/>
  </mergeCells>
  <phoneticPr fontId="26" type="noConversion"/>
  <hyperlinks>
    <hyperlink ref="D13" location="'Raw Data'!A1" display="→ Raw Data" xr:uid="{8CCAEA86-B9C2-4FFE-94A0-A8FC5E000338}"/>
    <hyperlink ref="D14" location="'KPI Dashboard'!A1" display="→ KPI Dashboard" xr:uid="{7541C5AA-D78A-4FB1-9A88-32CBEF191EFD}"/>
    <hyperlink ref="D15" location="'Inventory Analysis'!A1" display="→ Inventory Analysis" xr:uid="{1BB34F4F-77A8-4036-81B8-C76AC11F20CC}"/>
    <hyperlink ref="D16" location="'Demand Forecasting'!A1" display="→ Demand Forecasting" xr:uid="{58BCA6A5-7462-4CCA-AE74-DC6CD46F294F}"/>
    <hyperlink ref="D17" location="'Supplier Scorecard'!A1" display="→ Supplier Scorecard" xr:uid="{731755C2-2522-40D2-A4B0-4C5294271603}"/>
    <hyperlink ref="D18" location="'Logistics &amp; Delivery'!A1" display="→ Logistics &amp; Delivery" xr:uid="{AD22A568-AC26-4BD7-9D76-1886489AA8BD}"/>
    <hyperlink ref="D19" location="'Cost Analysis'!A1" display="→ Cost Analysis" xr:uid="{E3F29FBA-6984-4A9D-950D-F5B36F80B5B1}"/>
    <hyperlink ref="D20" location="'Workforce &amp; Ops'!A1" display="→ Workforce &amp; Ops" xr:uid="{C391FD63-0F34-484A-A56B-8E527AFCA588}"/>
    <hyperlink ref="D21" location="'What-If Simulator'!A1" display="→ What-If Simulator" xr:uid="{4F4B26BC-2CF2-414C-9C11-1FE64383473B}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O1000"/>
  <sheetViews>
    <sheetView showGridLines="0" topLeftCell="A7" zoomScale="85" zoomScaleNormal="85" workbookViewId="0">
      <selection sqref="A1:O3"/>
    </sheetView>
  </sheetViews>
  <sheetFormatPr defaultColWidth="14.44140625" defaultRowHeight="15" customHeight="1" x14ac:dyDescent="0.3"/>
  <cols>
    <col min="1" max="6" width="8.6640625" customWidth="1"/>
    <col min="7" max="7" width="25.5546875" customWidth="1"/>
    <col min="8" max="26" width="8.6640625" customWidth="1"/>
  </cols>
  <sheetData>
    <row r="1" spans="1:15" ht="30" customHeight="1" x14ac:dyDescent="0.3">
      <c r="A1" s="53" t="s">
        <v>746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2"/>
    </row>
    <row r="2" spans="1:15" ht="15" customHeight="1" x14ac:dyDescent="0.3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5"/>
    </row>
    <row r="3" spans="1:15" ht="15" customHeight="1" x14ac:dyDescent="0.3">
      <c r="A3" s="46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8"/>
    </row>
    <row r="4" spans="1:15" ht="14.4" x14ac:dyDescent="0.3">
      <c r="A4" s="54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7"/>
    </row>
    <row r="5" spans="1:15" ht="14.4" x14ac:dyDescent="0.3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</row>
    <row r="6" spans="1:15" ht="24.75" customHeight="1" x14ac:dyDescent="0.3">
      <c r="A6" s="83" t="s">
        <v>511</v>
      </c>
      <c r="B6" s="84"/>
      <c r="C6" s="85" t="s">
        <v>672</v>
      </c>
      <c r="D6" s="84"/>
      <c r="E6" s="86" t="s">
        <v>673</v>
      </c>
      <c r="F6" s="84"/>
      <c r="G6" s="87" t="s">
        <v>674</v>
      </c>
      <c r="H6" s="84"/>
      <c r="I6" s="88" t="s">
        <v>675</v>
      </c>
      <c r="J6" s="84"/>
      <c r="K6" s="89" t="s">
        <v>676</v>
      </c>
      <c r="L6" s="84"/>
      <c r="M6" s="27"/>
      <c r="N6" s="27"/>
      <c r="O6" s="27"/>
    </row>
    <row r="7" spans="1:15" ht="34.5" customHeight="1" x14ac:dyDescent="0.3">
      <c r="A7" s="57">
        <f>'Inventory Analysis'!I4</f>
        <v>0.93917087286711365</v>
      </c>
      <c r="B7" s="42"/>
      <c r="C7" s="58">
        <f>AVERAGE('Logistics &amp; Delivery'!F4:F8)</f>
        <v>0.2101204731695942</v>
      </c>
      <c r="D7" s="42"/>
      <c r="E7" s="58">
        <f>1-AVERAGE('Demand Forecasting'!I4:I27)</f>
        <v>0.71267941507754706</v>
      </c>
      <c r="F7" s="42"/>
      <c r="G7" s="58">
        <f>COUNTIF('Raw Data'!U4:U323,"&lt;"&amp;'Raw Data'!W4:W323)/COUNTA('Raw Data'!U4:U323)</f>
        <v>0.2507836990595611</v>
      </c>
      <c r="H7" s="42"/>
      <c r="I7" s="59">
        <f>AVERAGE('Supplier Scorecard'!F4:F11)</f>
        <v>10.5375</v>
      </c>
      <c r="J7" s="42"/>
      <c r="K7" s="58">
        <f>AVERAGE('Cost Analysis'!H4:H27)</f>
        <v>0.32263403038644611</v>
      </c>
      <c r="L7" s="42"/>
      <c r="M7" s="27"/>
      <c r="N7" s="27"/>
      <c r="O7" s="27"/>
    </row>
    <row r="8" spans="1:15" ht="34.5" customHeight="1" x14ac:dyDescent="0.3">
      <c r="A8" s="46"/>
      <c r="B8" s="48"/>
      <c r="C8" s="46"/>
      <c r="D8" s="48"/>
      <c r="E8" s="46"/>
      <c r="F8" s="48"/>
      <c r="G8" s="46"/>
      <c r="H8" s="48"/>
      <c r="I8" s="46"/>
      <c r="J8" s="48"/>
      <c r="K8" s="46"/>
      <c r="L8" s="48"/>
      <c r="M8" s="27"/>
      <c r="N8" s="27"/>
      <c r="O8" s="27"/>
    </row>
    <row r="9" spans="1:15" ht="14.4" x14ac:dyDescent="0.3">
      <c r="A9" s="55" t="s">
        <v>677</v>
      </c>
      <c r="B9" s="37"/>
      <c r="C9" s="55" t="s">
        <v>678</v>
      </c>
      <c r="D9" s="37"/>
      <c r="E9" s="55" t="s">
        <v>679</v>
      </c>
      <c r="F9" s="37"/>
      <c r="G9" s="55" t="s">
        <v>680</v>
      </c>
      <c r="H9" s="37"/>
      <c r="I9" s="55" t="s">
        <v>681</v>
      </c>
      <c r="J9" s="37"/>
      <c r="K9" s="55" t="s">
        <v>682</v>
      </c>
      <c r="L9" s="37"/>
      <c r="M9" s="27"/>
      <c r="N9" s="27"/>
      <c r="O9" s="27"/>
    </row>
    <row r="10" spans="1:15" ht="14.4" x14ac:dyDescent="0.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spans="1:15" ht="24.75" customHeight="1" x14ac:dyDescent="0.3">
      <c r="A11" s="56" t="s">
        <v>683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7"/>
    </row>
    <row r="12" spans="1:15" ht="21.75" customHeight="1" x14ac:dyDescent="0.3">
      <c r="A12" s="3" t="s">
        <v>684</v>
      </c>
      <c r="B12" s="3" t="s">
        <v>685</v>
      </c>
      <c r="C12" s="3" t="s">
        <v>686</v>
      </c>
      <c r="D12" s="3" t="s">
        <v>687</v>
      </c>
      <c r="E12" s="3" t="s">
        <v>606</v>
      </c>
      <c r="F12" s="3" t="s">
        <v>688</v>
      </c>
      <c r="G12" s="3" t="s">
        <v>689</v>
      </c>
      <c r="H12" s="27"/>
      <c r="I12" s="27"/>
      <c r="J12" s="27"/>
      <c r="K12" s="27"/>
      <c r="L12" s="62" t="s">
        <v>714</v>
      </c>
      <c r="M12" s="62" t="s">
        <v>715</v>
      </c>
      <c r="N12" s="62" t="s">
        <v>686</v>
      </c>
      <c r="O12" s="27"/>
    </row>
    <row r="13" spans="1:15" ht="14.4" x14ac:dyDescent="0.3">
      <c r="A13" s="4" t="s">
        <v>511</v>
      </c>
      <c r="B13" s="6">
        <f>'Inventory Analysis'!I4</f>
        <v>0.93917087286711365</v>
      </c>
      <c r="C13" s="4">
        <v>4</v>
      </c>
      <c r="D13" s="6">
        <f t="shared" ref="D13:D22" si="0">B13-C13</f>
        <v>-3.0608291271328865</v>
      </c>
      <c r="E13" s="4" t="str">
        <f t="shared" ref="E13:E15" si="1">IF(B13&gt;=C13,"✔","✘")</f>
        <v>✘</v>
      </c>
      <c r="F13" s="4" t="s">
        <v>690</v>
      </c>
      <c r="G13" s="4" t="s">
        <v>744</v>
      </c>
      <c r="H13" s="27"/>
      <c r="I13" s="27"/>
      <c r="J13" s="27"/>
      <c r="K13" s="27"/>
      <c r="L13" s="62" t="s">
        <v>716</v>
      </c>
      <c r="M13" s="62">
        <v>75</v>
      </c>
      <c r="N13" s="62">
        <v>100</v>
      </c>
      <c r="O13" s="27"/>
    </row>
    <row r="14" spans="1:15" ht="14.4" x14ac:dyDescent="0.3">
      <c r="A14" s="7" t="s">
        <v>672</v>
      </c>
      <c r="B14" s="22">
        <f>AVERAGE('Logistics &amp; Delivery'!F4:F8)</f>
        <v>0.2101204731695942</v>
      </c>
      <c r="C14" s="22">
        <v>0.9</v>
      </c>
      <c r="D14" s="22">
        <f t="shared" si="0"/>
        <v>-0.68987952683040588</v>
      </c>
      <c r="E14" s="7" t="str">
        <f t="shared" si="1"/>
        <v>✘</v>
      </c>
      <c r="F14" s="7" t="s">
        <v>691</v>
      </c>
      <c r="G14" s="7" t="s">
        <v>692</v>
      </c>
      <c r="H14" s="27"/>
      <c r="I14" s="27"/>
      <c r="J14" s="27"/>
      <c r="K14" s="27"/>
      <c r="L14" s="62" t="s">
        <v>717</v>
      </c>
      <c r="M14" s="62">
        <v>82</v>
      </c>
      <c r="N14" s="62">
        <v>100</v>
      </c>
      <c r="O14" s="27"/>
    </row>
    <row r="15" spans="1:15" ht="14.4" x14ac:dyDescent="0.3">
      <c r="A15" s="4" t="s">
        <v>673</v>
      </c>
      <c r="B15" s="20">
        <f>1-AVERAGE('Demand Forecasting'!I4:I27)</f>
        <v>0.71267941507754706</v>
      </c>
      <c r="C15" s="20" t="s">
        <v>693</v>
      </c>
      <c r="D15" s="20">
        <f t="shared" si="0"/>
        <v>-0.13732058492245292</v>
      </c>
      <c r="E15" s="4" t="str">
        <f t="shared" si="1"/>
        <v>✘</v>
      </c>
      <c r="F15" s="4" t="s">
        <v>690</v>
      </c>
      <c r="G15" s="4" t="s">
        <v>694</v>
      </c>
      <c r="H15" s="27"/>
      <c r="I15" s="27"/>
      <c r="J15" s="27"/>
      <c r="K15" s="27"/>
      <c r="L15" s="62" t="s">
        <v>718</v>
      </c>
      <c r="M15" s="62">
        <v>78</v>
      </c>
      <c r="N15" s="62">
        <v>100</v>
      </c>
      <c r="O15" s="27"/>
    </row>
    <row r="16" spans="1:15" ht="14.4" x14ac:dyDescent="0.3">
      <c r="A16" s="7" t="s">
        <v>674</v>
      </c>
      <c r="B16" s="22">
        <f>COUNTIF('Raw Data'!U4:U323,"&lt;"&amp;'Raw Data'!W4:W323)/COUNTA('Raw Data'!U4:U323)</f>
        <v>0.33228840125391851</v>
      </c>
      <c r="C16" s="22">
        <v>0.05</v>
      </c>
      <c r="D16" s="22">
        <f t="shared" si="0"/>
        <v>0.28228840125391852</v>
      </c>
      <c r="E16" s="7" t="str">
        <f>IF(B16&lt;C16,"✔","✘")</f>
        <v>✘</v>
      </c>
      <c r="F16" s="7" t="s">
        <v>695</v>
      </c>
      <c r="G16" s="7" t="s">
        <v>696</v>
      </c>
      <c r="H16" s="27"/>
      <c r="I16" s="27"/>
      <c r="J16" s="27"/>
      <c r="K16" s="27"/>
      <c r="L16" s="62" t="s">
        <v>719</v>
      </c>
      <c r="M16" s="62">
        <v>88</v>
      </c>
      <c r="N16" s="62">
        <v>100</v>
      </c>
      <c r="O16" s="27"/>
    </row>
    <row r="17" spans="1:15" ht="14.4" x14ac:dyDescent="0.3">
      <c r="A17" s="4" t="s">
        <v>697</v>
      </c>
      <c r="B17" s="6">
        <f>AVERAGE('Supplier Scorecard'!K4:K11)</f>
        <v>0.83374999999999999</v>
      </c>
      <c r="C17" s="4" t="s">
        <v>698</v>
      </c>
      <c r="D17" s="6">
        <f t="shared" si="0"/>
        <v>-1.6249999999999987E-2</v>
      </c>
      <c r="E17" s="4" t="str">
        <f>IF(B17&gt;=C17,"✔","✘")</f>
        <v>✘</v>
      </c>
      <c r="F17" s="4" t="s">
        <v>690</v>
      </c>
      <c r="G17" s="4" t="s">
        <v>699</v>
      </c>
      <c r="H17" s="27"/>
      <c r="I17" s="27"/>
      <c r="J17" s="27"/>
      <c r="K17" s="27"/>
      <c r="L17" s="62" t="s">
        <v>720</v>
      </c>
      <c r="M17" s="62">
        <v>65</v>
      </c>
      <c r="N17" s="62">
        <v>100</v>
      </c>
      <c r="O17" s="27"/>
    </row>
    <row r="18" spans="1:15" ht="14.4" x14ac:dyDescent="0.3">
      <c r="A18" s="7" t="s">
        <v>602</v>
      </c>
      <c r="B18" s="28">
        <f>AVERAGE('Logistics &amp; Delivery'!I4:I23)</f>
        <v>21.642857142857142</v>
      </c>
      <c r="C18" s="28" t="s">
        <v>700</v>
      </c>
      <c r="D18" s="28">
        <f t="shared" si="0"/>
        <v>6.6428571428571423</v>
      </c>
      <c r="E18" s="7" t="str">
        <f t="shared" ref="E18:E19" si="2">IF(B18&lt;=C18,"✔","✘")</f>
        <v>✔</v>
      </c>
      <c r="F18" s="7" t="s">
        <v>691</v>
      </c>
      <c r="G18" s="7" t="s">
        <v>701</v>
      </c>
      <c r="H18" s="27"/>
      <c r="I18" s="27"/>
      <c r="J18" s="27"/>
      <c r="K18" s="27"/>
      <c r="L18" s="62" t="s">
        <v>721</v>
      </c>
      <c r="M18" s="62">
        <v>70</v>
      </c>
      <c r="N18" s="62">
        <v>100</v>
      </c>
      <c r="O18" s="27"/>
    </row>
    <row r="19" spans="1:15" ht="14.4" x14ac:dyDescent="0.3">
      <c r="A19" s="4" t="s">
        <v>702</v>
      </c>
      <c r="B19" s="20">
        <f>AVERAGE('Logistics &amp; Delivery'!L4:L8)</f>
        <v>4.8927761570870722E-3</v>
      </c>
      <c r="C19" s="20" t="s">
        <v>703</v>
      </c>
      <c r="D19" s="20">
        <f t="shared" si="0"/>
        <v>-7.5107223842912935E-2</v>
      </c>
      <c r="E19" s="4" t="str">
        <f t="shared" si="2"/>
        <v>✔</v>
      </c>
      <c r="F19" s="4" t="s">
        <v>695</v>
      </c>
      <c r="G19" s="4" t="s">
        <v>704</v>
      </c>
      <c r="H19" s="27"/>
      <c r="I19" s="27"/>
      <c r="J19" s="27"/>
      <c r="K19" s="27"/>
      <c r="L19" s="27"/>
      <c r="M19" s="27"/>
      <c r="N19" s="27"/>
      <c r="O19" s="27"/>
    </row>
    <row r="20" spans="1:15" ht="14.4" x14ac:dyDescent="0.3">
      <c r="A20" s="7" t="s">
        <v>705</v>
      </c>
      <c r="B20" s="28">
        <f>AVERAGE('Workforce &amp; Ops'!D4:D27)</f>
        <v>1.5541666666666669</v>
      </c>
      <c r="C20" s="28" t="s">
        <v>706</v>
      </c>
      <c r="D20" s="28">
        <f t="shared" si="0"/>
        <v>-16.445833333333333</v>
      </c>
      <c r="E20" s="7" t="str">
        <f>IF(B20&gt;=C20,"✔","✘")</f>
        <v>✘</v>
      </c>
      <c r="F20" s="7" t="s">
        <v>690</v>
      </c>
      <c r="G20" s="7" t="s">
        <v>707</v>
      </c>
      <c r="H20" s="27"/>
      <c r="I20" s="27"/>
      <c r="J20" s="27"/>
      <c r="K20" s="27"/>
      <c r="L20" s="27"/>
      <c r="M20" s="27"/>
      <c r="N20" s="27"/>
      <c r="O20" s="27"/>
    </row>
    <row r="21" spans="1:15" ht="15.75" customHeight="1" x14ac:dyDescent="0.3">
      <c r="A21" s="4" t="s">
        <v>708</v>
      </c>
      <c r="B21" s="29">
        <f>AVERAGE('Workforce &amp; Ops'!I4:I27)</f>
        <v>1.625</v>
      </c>
      <c r="C21" s="29" t="s">
        <v>709</v>
      </c>
      <c r="D21" s="29">
        <f t="shared" si="0"/>
        <v>0.625</v>
      </c>
      <c r="E21" s="4" t="str">
        <f>IF(B21&lt;=C21,"✔","✘")</f>
        <v>✔</v>
      </c>
      <c r="F21" s="4" t="s">
        <v>691</v>
      </c>
      <c r="G21" s="4" t="s">
        <v>710</v>
      </c>
      <c r="H21" s="27"/>
      <c r="I21" s="27"/>
      <c r="J21" s="27"/>
      <c r="K21" s="27"/>
      <c r="L21" s="27"/>
      <c r="M21" s="27"/>
      <c r="N21" s="27"/>
      <c r="O21" s="27"/>
    </row>
    <row r="22" spans="1:15" ht="15.75" customHeight="1" x14ac:dyDescent="0.3">
      <c r="A22" s="7" t="s">
        <v>711</v>
      </c>
      <c r="B22" s="22">
        <f>SUMIF('Raw Data'!T4:T323,"Yes",'Raw Data'!N4:N323)/SUM('Raw Data'!N4:N323)</f>
        <v>0.2307440203814094</v>
      </c>
      <c r="C22" s="22" t="s">
        <v>712</v>
      </c>
      <c r="D22" s="22">
        <f t="shared" si="0"/>
        <v>-0.71925597961859056</v>
      </c>
      <c r="E22" s="7" t="str">
        <f>IF(B22&gt;=C22,"✔","✘")</f>
        <v>✘</v>
      </c>
      <c r="F22" s="7" t="s">
        <v>690</v>
      </c>
      <c r="G22" s="7" t="s">
        <v>713</v>
      </c>
      <c r="H22" s="27"/>
      <c r="I22" s="27"/>
      <c r="J22" s="27"/>
      <c r="K22" s="27"/>
      <c r="L22" s="27"/>
      <c r="M22" s="27"/>
      <c r="N22" s="27"/>
      <c r="O22" s="27"/>
    </row>
    <row r="23" spans="1:15" ht="15.75" customHeight="1" x14ac:dyDescent="0.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</row>
    <row r="24" spans="1:15" ht="15.75" customHeight="1" x14ac:dyDescent="0.3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</row>
    <row r="25" spans="1:15" ht="15.75" customHeight="1" x14ac:dyDescent="0.3">
      <c r="K25" s="63"/>
      <c r="L25" s="63"/>
      <c r="M25" s="63"/>
      <c r="N25" s="63"/>
      <c r="O25" s="63"/>
    </row>
    <row r="26" spans="1:15" ht="15.75" customHeight="1" x14ac:dyDescent="0.3">
      <c r="K26" s="64"/>
      <c r="L26" s="63"/>
      <c r="M26" s="63"/>
      <c r="N26" s="63"/>
      <c r="O26" s="63"/>
    </row>
    <row r="27" spans="1:15" ht="15.75" customHeight="1" x14ac:dyDescent="0.35">
      <c r="A27" s="90" t="s">
        <v>747</v>
      </c>
      <c r="B27" s="91"/>
      <c r="C27" s="91"/>
      <c r="K27" s="64"/>
      <c r="L27" s="63"/>
      <c r="M27" s="63"/>
      <c r="N27" s="63"/>
      <c r="O27" s="63"/>
    </row>
    <row r="28" spans="1:15" ht="15.75" customHeight="1" x14ac:dyDescent="0.3">
      <c r="K28" s="64"/>
      <c r="L28" s="63"/>
      <c r="M28" s="63"/>
      <c r="N28" s="63"/>
      <c r="O28" s="63"/>
    </row>
    <row r="29" spans="1:15" ht="15.75" customHeight="1" x14ac:dyDescent="0.3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4"/>
      <c r="L29" s="63"/>
      <c r="M29" s="63"/>
      <c r="N29" s="63"/>
      <c r="O29" s="63"/>
    </row>
    <row r="30" spans="1:15" ht="15.75" customHeight="1" x14ac:dyDescent="0.3">
      <c r="A30" s="63"/>
      <c r="B30" s="63"/>
      <c r="C30" s="63"/>
      <c r="D30" s="63"/>
      <c r="E30" s="63"/>
      <c r="F30" s="63"/>
      <c r="G30" s="63"/>
      <c r="H30" s="63"/>
      <c r="I30" s="64"/>
      <c r="J30" s="64"/>
      <c r="K30" s="64"/>
      <c r="L30" s="63"/>
      <c r="M30" s="63"/>
      <c r="N30" s="63"/>
      <c r="O30" s="63"/>
    </row>
    <row r="31" spans="1:15" ht="15.75" customHeight="1" x14ac:dyDescent="0.3">
      <c r="A31" s="63"/>
      <c r="B31" s="63"/>
      <c r="C31" s="63"/>
      <c r="D31" s="63"/>
      <c r="E31" s="63"/>
      <c r="F31" s="63"/>
      <c r="G31" s="63"/>
      <c r="H31" s="63"/>
      <c r="I31" s="64"/>
      <c r="J31" s="64"/>
      <c r="K31" s="64"/>
      <c r="L31" s="63"/>
      <c r="M31" s="63"/>
      <c r="N31" s="63"/>
      <c r="O31" s="63"/>
    </row>
    <row r="32" spans="1:15" ht="15.75" customHeight="1" x14ac:dyDescent="0.3">
      <c r="A32" s="63"/>
      <c r="B32" s="63"/>
      <c r="C32" s="63"/>
      <c r="D32" s="63"/>
      <c r="E32" s="63"/>
      <c r="F32" s="63"/>
      <c r="G32" s="63"/>
      <c r="H32" s="63"/>
      <c r="I32" s="64"/>
      <c r="J32" s="64"/>
      <c r="K32" s="64"/>
      <c r="L32" s="63"/>
      <c r="M32" s="63"/>
      <c r="N32" s="63"/>
      <c r="O32" s="63"/>
    </row>
    <row r="33" spans="1:15" ht="15.75" customHeight="1" x14ac:dyDescent="0.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</row>
    <row r="34" spans="1:15" ht="15.75" customHeight="1" x14ac:dyDescent="0.3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</row>
    <row r="35" spans="1:15" ht="15.75" customHeight="1" x14ac:dyDescent="0.3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</row>
    <row r="36" spans="1:15" ht="15.75" customHeight="1" x14ac:dyDescent="0.3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</row>
    <row r="37" spans="1:15" ht="15.75" customHeight="1" x14ac:dyDescent="0.3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</row>
    <row r="38" spans="1:15" ht="15.75" customHeight="1" x14ac:dyDescent="0.3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</row>
    <row r="39" spans="1:15" ht="15.75" customHeight="1" x14ac:dyDescent="0.3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</row>
    <row r="40" spans="1:15" ht="15.75" customHeight="1" x14ac:dyDescent="0.3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</row>
    <row r="41" spans="1:15" ht="15.75" customHeight="1" x14ac:dyDescent="0.3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</row>
    <row r="42" spans="1:15" ht="15.75" customHeight="1" x14ac:dyDescent="0.3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</row>
    <row r="43" spans="1:15" ht="15.75" customHeight="1" x14ac:dyDescent="0.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</row>
    <row r="44" spans="1:15" ht="15.75" customHeight="1" x14ac:dyDescent="0.3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</row>
    <row r="45" spans="1:15" ht="15.75" customHeight="1" x14ac:dyDescent="0.3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</row>
    <row r="46" spans="1:15" ht="15.75" customHeight="1" x14ac:dyDescent="0.3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</row>
    <row r="47" spans="1:15" ht="15.75" customHeight="1" x14ac:dyDescent="0.3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</row>
    <row r="48" spans="1:15" ht="15.75" customHeight="1" x14ac:dyDescent="0.3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</row>
    <row r="49" spans="1:15" ht="15.75" customHeight="1" x14ac:dyDescent="0.3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</row>
    <row r="50" spans="1:15" ht="15.75" customHeight="1" x14ac:dyDescent="0.3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</row>
    <row r="51" spans="1:15" ht="15.75" customHeight="1" x14ac:dyDescent="0.3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</row>
    <row r="52" spans="1:15" ht="15.75" customHeight="1" x14ac:dyDescent="0.3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</row>
    <row r="53" spans="1:15" ht="15.75" customHeight="1" x14ac:dyDescent="0.3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</row>
    <row r="54" spans="1:15" ht="15.75" customHeight="1" x14ac:dyDescent="0.3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</row>
    <row r="55" spans="1:15" ht="15.75" customHeight="1" x14ac:dyDescent="0.3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</row>
    <row r="56" spans="1:15" ht="15.75" customHeight="1" x14ac:dyDescent="0.3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</row>
    <row r="57" spans="1:15" ht="15.75" customHeight="1" x14ac:dyDescent="0.3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</row>
    <row r="58" spans="1:15" ht="15.75" customHeight="1" x14ac:dyDescent="0.3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</row>
    <row r="59" spans="1:15" ht="15.75" customHeight="1" x14ac:dyDescent="0.3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</row>
    <row r="60" spans="1:15" ht="15.75" customHeight="1" x14ac:dyDescent="0.3"/>
    <row r="61" spans="1:15" ht="15.75" customHeight="1" x14ac:dyDescent="0.3"/>
    <row r="62" spans="1:15" ht="15.75" customHeight="1" x14ac:dyDescent="0.3"/>
    <row r="63" spans="1:15" ht="15.75" customHeight="1" x14ac:dyDescent="0.3"/>
    <row r="64" spans="1:15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1">
    <mergeCell ref="K9:L9"/>
    <mergeCell ref="A11:O11"/>
    <mergeCell ref="A6:B6"/>
    <mergeCell ref="A7:B8"/>
    <mergeCell ref="C7:D8"/>
    <mergeCell ref="E7:F8"/>
    <mergeCell ref="G7:H8"/>
    <mergeCell ref="I7:J8"/>
    <mergeCell ref="K7:L8"/>
    <mergeCell ref="A9:B9"/>
    <mergeCell ref="C9:D9"/>
    <mergeCell ref="E9:F9"/>
    <mergeCell ref="G9:H9"/>
    <mergeCell ref="I9:J9"/>
    <mergeCell ref="A1:O3"/>
    <mergeCell ref="A4:O4"/>
    <mergeCell ref="C6:D6"/>
    <mergeCell ref="E6:F6"/>
    <mergeCell ref="G6:H6"/>
    <mergeCell ref="I6:J6"/>
    <mergeCell ref="K6:L6"/>
  </mergeCells>
  <pageMargins left="0.75" right="0.75" top="1" bottom="1" header="0" footer="0"/>
  <pageSetup orientation="landscape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3" name="Button 1">
              <controlPr defaultSize="0" print="0" autoFill="0" autoPict="0" macro="[0]!RefreshDashboard">
                <anchor moveWithCells="1" sizeWithCells="1">
                  <from>
                    <xdr:col>0</xdr:col>
                    <xdr:colOff>99060</xdr:colOff>
                    <xdr:row>28</xdr:row>
                    <xdr:rowOff>68580</xdr:rowOff>
                  </from>
                  <to>
                    <xdr:col>2</xdr:col>
                    <xdr:colOff>480060</xdr:colOff>
                    <xdr:row>30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4" name="Button 2">
              <controlPr defaultSize="0" print="0" autoFill="0" autoPict="0" macro="[0]!HighlightStockoutRisk">
                <anchor moveWithCells="1" sizeWithCells="1">
                  <from>
                    <xdr:col>3</xdr:col>
                    <xdr:colOff>45720</xdr:colOff>
                    <xdr:row>28</xdr:row>
                    <xdr:rowOff>76200</xdr:rowOff>
                  </from>
                  <to>
                    <xdr:col>5</xdr:col>
                    <xdr:colOff>304800</xdr:colOff>
                    <xdr:row>30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5" name="Button 3">
              <controlPr defaultSize="0" print="0" autoFill="0" autoPict="0" macro="[0]!ExportKPISummary">
                <anchor moveWithCells="1" sizeWithCells="1">
                  <from>
                    <xdr:col>5</xdr:col>
                    <xdr:colOff>502920</xdr:colOff>
                    <xdr:row>28</xdr:row>
                    <xdr:rowOff>99060</xdr:rowOff>
                  </from>
                  <to>
                    <xdr:col>6</xdr:col>
                    <xdr:colOff>1341120</xdr:colOff>
                    <xdr:row>30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6" name="Button 4">
              <controlPr defaultSize="0" print="0" autoFill="0" autoPict="0" macro="[0]!GenerateCityReport">
                <anchor moveWithCells="1" sizeWithCells="1">
                  <from>
                    <xdr:col>6</xdr:col>
                    <xdr:colOff>1729740</xdr:colOff>
                    <xdr:row>28</xdr:row>
                    <xdr:rowOff>152400</xdr:rowOff>
                  </from>
                  <to>
                    <xdr:col>9</xdr:col>
                    <xdr:colOff>457200</xdr:colOff>
                    <xdr:row>30</xdr:row>
                    <xdr:rowOff>175260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B1000"/>
  <sheetViews>
    <sheetView showGridLines="0" zoomScale="71" zoomScaleNormal="115" workbookViewId="0">
      <pane ySplit="2" topLeftCell="A3" activePane="bottomLeft" state="frozen"/>
      <selection pane="bottomLeft" sqref="A1:AB1"/>
    </sheetView>
  </sheetViews>
  <sheetFormatPr defaultColWidth="14.44140625" defaultRowHeight="15" customHeight="1" x14ac:dyDescent="0.3"/>
  <cols>
    <col min="1" max="1" width="12" customWidth="1"/>
    <col min="2" max="2" width="14" customWidth="1"/>
    <col min="3" max="3" width="10" customWidth="1"/>
    <col min="4" max="4" width="18" customWidth="1"/>
    <col min="5" max="5" width="14" customWidth="1"/>
    <col min="6" max="7" width="12" customWidth="1"/>
    <col min="8" max="8" width="22" customWidth="1"/>
    <col min="9" max="10" width="14" customWidth="1"/>
    <col min="11" max="11" width="12" customWidth="1"/>
    <col min="12" max="12" width="22" customWidth="1"/>
    <col min="13" max="13" width="14" customWidth="1"/>
    <col min="14" max="14" width="16" customWidth="1"/>
    <col min="15" max="15" width="14" customWidth="1"/>
    <col min="16" max="18" width="20" customWidth="1"/>
    <col min="19" max="19" width="14" customWidth="1"/>
    <col min="20" max="20" width="16" customWidth="1"/>
    <col min="21" max="21" width="20" customWidth="1"/>
    <col min="22" max="22" width="22" customWidth="1"/>
    <col min="23" max="23" width="14" customWidth="1"/>
    <col min="24" max="25" width="22" customWidth="1"/>
    <col min="26" max="26" width="14" customWidth="1"/>
    <col min="27" max="27" width="16" customWidth="1"/>
    <col min="28" max="28" width="22" customWidth="1"/>
  </cols>
  <sheetData>
    <row r="1" spans="1:28" ht="30" customHeight="1" x14ac:dyDescent="0.3">
      <c r="A1" s="97" t="s">
        <v>745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9"/>
    </row>
    <row r="2" spans="1:28" ht="24.75" customHeight="1" x14ac:dyDescent="0.3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25</v>
      </c>
      <c r="O2" s="3" t="s">
        <v>26</v>
      </c>
      <c r="P2" s="3" t="s">
        <v>27</v>
      </c>
      <c r="Q2" s="3" t="s">
        <v>28</v>
      </c>
      <c r="R2" s="3" t="s">
        <v>29</v>
      </c>
      <c r="S2" s="3" t="s">
        <v>30</v>
      </c>
      <c r="T2" s="3" t="s">
        <v>31</v>
      </c>
      <c r="U2" s="3" t="s">
        <v>32</v>
      </c>
      <c r="V2" s="3" t="s">
        <v>33</v>
      </c>
      <c r="W2" s="3" t="s">
        <v>34</v>
      </c>
      <c r="X2" s="3" t="s">
        <v>35</v>
      </c>
      <c r="Y2" s="3" t="s">
        <v>36</v>
      </c>
      <c r="Z2" s="3" t="s">
        <v>37</v>
      </c>
      <c r="AA2" s="3" t="s">
        <v>38</v>
      </c>
      <c r="AB2" s="3" t="s">
        <v>39</v>
      </c>
    </row>
    <row r="3" spans="1:28" ht="14.4" x14ac:dyDescent="0.3">
      <c r="A3" s="71" t="s">
        <v>40</v>
      </c>
      <c r="B3" s="72">
        <v>44932</v>
      </c>
      <c r="C3" s="71" t="s">
        <v>41</v>
      </c>
      <c r="D3" s="71" t="s">
        <v>42</v>
      </c>
      <c r="E3" s="71" t="s">
        <v>43</v>
      </c>
      <c r="F3" s="71" t="s">
        <v>44</v>
      </c>
      <c r="G3" s="71" t="s">
        <v>45</v>
      </c>
      <c r="H3" s="71" t="s">
        <v>46</v>
      </c>
      <c r="I3" s="71" t="s">
        <v>47</v>
      </c>
      <c r="J3" s="71" t="s">
        <v>48</v>
      </c>
      <c r="K3" s="71" t="s">
        <v>49</v>
      </c>
      <c r="L3" s="71" t="s">
        <v>50</v>
      </c>
      <c r="M3" s="71" t="s">
        <v>51</v>
      </c>
      <c r="N3" s="71">
        <v>570</v>
      </c>
      <c r="O3" s="73">
        <v>14209.31</v>
      </c>
      <c r="P3" s="73">
        <f t="shared" ref="P3:P257" si="0">N3*O3</f>
        <v>8099306.6999999993</v>
      </c>
      <c r="Q3" s="71">
        <v>14</v>
      </c>
      <c r="R3" s="71">
        <v>15</v>
      </c>
      <c r="S3" s="71">
        <f>MAX(0,R3-Q3)</f>
        <v>1</v>
      </c>
      <c r="T3" s="71" t="str">
        <f t="shared" ref="T3:T257" si="1">IF(S3=0,"Yes","No")</f>
        <v>No</v>
      </c>
      <c r="U3" s="71">
        <v>2993</v>
      </c>
      <c r="V3" s="71">
        <v>406</v>
      </c>
      <c r="W3" s="71">
        <v>442</v>
      </c>
      <c r="X3" s="71">
        <v>25</v>
      </c>
      <c r="Y3" s="71">
        <v>35</v>
      </c>
      <c r="Z3" s="73">
        <v>10361.23</v>
      </c>
      <c r="AA3" s="73">
        <v>4698</v>
      </c>
      <c r="AB3" s="74">
        <v>0.74</v>
      </c>
    </row>
    <row r="4" spans="1:28" ht="14.4" x14ac:dyDescent="0.3">
      <c r="A4" s="75" t="s">
        <v>52</v>
      </c>
      <c r="B4" s="76">
        <v>44933</v>
      </c>
      <c r="C4" s="75" t="s">
        <v>53</v>
      </c>
      <c r="D4" s="75" t="s">
        <v>54</v>
      </c>
      <c r="E4" s="75" t="s">
        <v>43</v>
      </c>
      <c r="F4" s="75" t="s">
        <v>55</v>
      </c>
      <c r="G4" s="75" t="s">
        <v>56</v>
      </c>
      <c r="H4" s="75" t="s">
        <v>57</v>
      </c>
      <c r="I4" s="75" t="s">
        <v>58</v>
      </c>
      <c r="J4" s="75" t="s">
        <v>59</v>
      </c>
      <c r="K4" s="75" t="s">
        <v>60</v>
      </c>
      <c r="L4" s="75" t="s">
        <v>61</v>
      </c>
      <c r="M4" s="75" t="s">
        <v>62</v>
      </c>
      <c r="N4" s="75">
        <v>883</v>
      </c>
      <c r="O4" s="77">
        <v>729.89</v>
      </c>
      <c r="P4" s="77">
        <f t="shared" si="0"/>
        <v>644492.87</v>
      </c>
      <c r="Q4" s="75">
        <v>18</v>
      </c>
      <c r="R4" s="75">
        <v>24</v>
      </c>
      <c r="S4" s="75">
        <f t="shared" ref="S3:S257" si="2">MAX(0,R4-Q4)</f>
        <v>6</v>
      </c>
      <c r="T4" s="75" t="str">
        <f t="shared" si="1"/>
        <v>No</v>
      </c>
      <c r="U4" s="75">
        <v>2256</v>
      </c>
      <c r="V4" s="75">
        <v>1112</v>
      </c>
      <c r="W4" s="75">
        <v>1588</v>
      </c>
      <c r="X4" s="75">
        <v>3.5</v>
      </c>
      <c r="Y4" s="75">
        <v>5</v>
      </c>
      <c r="Z4" s="77">
        <v>509.21</v>
      </c>
      <c r="AA4" s="77">
        <v>2735</v>
      </c>
      <c r="AB4" s="78">
        <v>0.82</v>
      </c>
    </row>
    <row r="5" spans="1:28" ht="14.4" x14ac:dyDescent="0.3">
      <c r="A5" s="75" t="s">
        <v>63</v>
      </c>
      <c r="B5" s="76">
        <v>44934</v>
      </c>
      <c r="C5" s="75" t="s">
        <v>64</v>
      </c>
      <c r="D5" s="75" t="s">
        <v>65</v>
      </c>
      <c r="E5" s="75" t="s">
        <v>43</v>
      </c>
      <c r="F5" s="75" t="s">
        <v>66</v>
      </c>
      <c r="G5" s="75" t="s">
        <v>67</v>
      </c>
      <c r="H5" s="75" t="s">
        <v>68</v>
      </c>
      <c r="I5" s="75" t="s">
        <v>69</v>
      </c>
      <c r="J5" s="75" t="s">
        <v>70</v>
      </c>
      <c r="K5" s="75" t="s">
        <v>71</v>
      </c>
      <c r="L5" s="75" t="s">
        <v>72</v>
      </c>
      <c r="M5" s="75" t="s">
        <v>73</v>
      </c>
      <c r="N5" s="75">
        <v>895</v>
      </c>
      <c r="O5" s="77">
        <v>482.11</v>
      </c>
      <c r="P5" s="77">
        <f t="shared" si="0"/>
        <v>431488.45</v>
      </c>
      <c r="Q5" s="75">
        <v>8</v>
      </c>
      <c r="R5" s="75">
        <v>9</v>
      </c>
      <c r="S5" s="75">
        <f t="shared" si="2"/>
        <v>1</v>
      </c>
      <c r="T5" s="75" t="str">
        <f t="shared" si="1"/>
        <v>No</v>
      </c>
      <c r="U5" s="75">
        <v>2222</v>
      </c>
      <c r="V5" s="75">
        <v>1158</v>
      </c>
      <c r="W5" s="75">
        <v>1638</v>
      </c>
      <c r="X5" s="75">
        <v>3</v>
      </c>
      <c r="Y5" s="75">
        <v>5</v>
      </c>
      <c r="Z5" s="77">
        <v>360.75</v>
      </c>
      <c r="AA5" s="77">
        <v>4065</v>
      </c>
      <c r="AB5" s="78">
        <v>0.88</v>
      </c>
    </row>
    <row r="6" spans="1:28" ht="14.4" x14ac:dyDescent="0.3">
      <c r="A6" s="79" t="s">
        <v>74</v>
      </c>
      <c r="B6" s="80">
        <v>44935</v>
      </c>
      <c r="C6" s="79" t="s">
        <v>75</v>
      </c>
      <c r="D6" s="79" t="s">
        <v>76</v>
      </c>
      <c r="E6" s="79" t="s">
        <v>77</v>
      </c>
      <c r="F6" s="79" t="s">
        <v>55</v>
      </c>
      <c r="G6" s="79" t="s">
        <v>78</v>
      </c>
      <c r="H6" s="79" t="s">
        <v>79</v>
      </c>
      <c r="I6" s="79" t="s">
        <v>69</v>
      </c>
      <c r="J6" s="79" t="s">
        <v>80</v>
      </c>
      <c r="K6" s="79" t="s">
        <v>81</v>
      </c>
      <c r="L6" s="79" t="s">
        <v>82</v>
      </c>
      <c r="M6" s="79" t="s">
        <v>83</v>
      </c>
      <c r="N6" s="79">
        <v>971</v>
      </c>
      <c r="O6" s="81">
        <v>95.16</v>
      </c>
      <c r="P6" s="81">
        <f t="shared" si="0"/>
        <v>92400.36</v>
      </c>
      <c r="Q6" s="79">
        <v>13</v>
      </c>
      <c r="R6" s="79">
        <v>12</v>
      </c>
      <c r="S6" s="79">
        <f t="shared" si="2"/>
        <v>0</v>
      </c>
      <c r="T6" s="79" t="str">
        <f t="shared" si="1"/>
        <v>Yes</v>
      </c>
      <c r="U6" s="79">
        <v>458</v>
      </c>
      <c r="V6" s="79">
        <v>1156</v>
      </c>
      <c r="W6" s="79">
        <v>1050</v>
      </c>
      <c r="X6" s="79">
        <v>2</v>
      </c>
      <c r="Y6" s="79">
        <v>3</v>
      </c>
      <c r="Z6" s="81">
        <v>62.46</v>
      </c>
      <c r="AA6" s="81">
        <v>2225</v>
      </c>
      <c r="AB6" s="82">
        <v>0.9</v>
      </c>
    </row>
    <row r="7" spans="1:28" ht="14.4" x14ac:dyDescent="0.3">
      <c r="A7" s="79" t="s">
        <v>84</v>
      </c>
      <c r="B7" s="80">
        <v>44936</v>
      </c>
      <c r="C7" s="79" t="s">
        <v>85</v>
      </c>
      <c r="D7" s="79" t="s">
        <v>86</v>
      </c>
      <c r="E7" s="79" t="s">
        <v>87</v>
      </c>
      <c r="F7" s="79" t="s">
        <v>66</v>
      </c>
      <c r="G7" s="79" t="s">
        <v>88</v>
      </c>
      <c r="H7" s="79" t="s">
        <v>89</v>
      </c>
      <c r="I7" s="79" t="s">
        <v>58</v>
      </c>
      <c r="J7" s="79" t="s">
        <v>90</v>
      </c>
      <c r="K7" s="79" t="s">
        <v>91</v>
      </c>
      <c r="L7" s="79" t="s">
        <v>92</v>
      </c>
      <c r="M7" s="79" t="s">
        <v>51</v>
      </c>
      <c r="N7" s="79">
        <v>925</v>
      </c>
      <c r="O7" s="81">
        <v>323.02</v>
      </c>
      <c r="P7" s="81">
        <f t="shared" si="0"/>
        <v>298793.5</v>
      </c>
      <c r="Q7" s="79">
        <v>24</v>
      </c>
      <c r="R7" s="79">
        <v>26</v>
      </c>
      <c r="S7" s="79">
        <f t="shared" si="2"/>
        <v>2</v>
      </c>
      <c r="T7" s="79" t="str">
        <f t="shared" si="1"/>
        <v>No</v>
      </c>
      <c r="U7" s="79">
        <v>400</v>
      </c>
      <c r="V7" s="79">
        <v>691</v>
      </c>
      <c r="W7" s="79">
        <v>718</v>
      </c>
      <c r="X7" s="79">
        <v>2</v>
      </c>
      <c r="Y7" s="79">
        <v>4</v>
      </c>
      <c r="Z7" s="81">
        <v>201.16</v>
      </c>
      <c r="AA7" s="81">
        <v>3778</v>
      </c>
      <c r="AB7" s="82">
        <v>0.97</v>
      </c>
    </row>
    <row r="8" spans="1:28" ht="14.4" x14ac:dyDescent="0.3">
      <c r="A8" s="71" t="s">
        <v>93</v>
      </c>
      <c r="B8" s="72">
        <v>44941</v>
      </c>
      <c r="C8" s="71" t="s">
        <v>75</v>
      </c>
      <c r="D8" s="71" t="s">
        <v>76</v>
      </c>
      <c r="E8" s="71" t="s">
        <v>77</v>
      </c>
      <c r="F8" s="71" t="s">
        <v>66</v>
      </c>
      <c r="G8" s="71" t="s">
        <v>94</v>
      </c>
      <c r="H8" s="71" t="s">
        <v>95</v>
      </c>
      <c r="I8" s="71" t="s">
        <v>58</v>
      </c>
      <c r="J8" s="71" t="s">
        <v>96</v>
      </c>
      <c r="K8" s="71" t="s">
        <v>81</v>
      </c>
      <c r="L8" s="71" t="s">
        <v>82</v>
      </c>
      <c r="M8" s="71" t="s">
        <v>83</v>
      </c>
      <c r="N8" s="71">
        <v>65</v>
      </c>
      <c r="O8" s="73">
        <v>88.26</v>
      </c>
      <c r="P8" s="73">
        <f t="shared" si="0"/>
        <v>5736.9000000000005</v>
      </c>
      <c r="Q8" s="71">
        <v>27</v>
      </c>
      <c r="R8" s="71">
        <v>27</v>
      </c>
      <c r="S8" s="71">
        <f t="shared" si="2"/>
        <v>0</v>
      </c>
      <c r="T8" s="71" t="str">
        <f t="shared" si="1"/>
        <v>Yes</v>
      </c>
      <c r="U8" s="71">
        <v>2632</v>
      </c>
      <c r="V8" s="71">
        <v>87</v>
      </c>
      <c r="W8" s="71">
        <v>99</v>
      </c>
      <c r="X8" s="71">
        <v>2</v>
      </c>
      <c r="Y8" s="71">
        <v>3</v>
      </c>
      <c r="Z8" s="73">
        <v>68.36</v>
      </c>
      <c r="AA8" s="73">
        <v>5202</v>
      </c>
      <c r="AB8" s="74">
        <v>0.78</v>
      </c>
    </row>
    <row r="9" spans="1:28" ht="14.4" x14ac:dyDescent="0.3">
      <c r="A9" s="71" t="s">
        <v>97</v>
      </c>
      <c r="B9" s="72">
        <v>44943</v>
      </c>
      <c r="C9" s="71" t="s">
        <v>98</v>
      </c>
      <c r="D9" s="71" t="s">
        <v>99</v>
      </c>
      <c r="E9" s="71" t="s">
        <v>100</v>
      </c>
      <c r="F9" s="71" t="s">
        <v>44</v>
      </c>
      <c r="G9" s="71" t="s">
        <v>101</v>
      </c>
      <c r="H9" s="71" t="s">
        <v>102</v>
      </c>
      <c r="I9" s="71" t="s">
        <v>69</v>
      </c>
      <c r="J9" s="71" t="s">
        <v>103</v>
      </c>
      <c r="K9" s="71" t="s">
        <v>104</v>
      </c>
      <c r="L9" s="71" t="s">
        <v>105</v>
      </c>
      <c r="M9" s="71" t="s">
        <v>106</v>
      </c>
      <c r="N9" s="71">
        <v>22</v>
      </c>
      <c r="O9" s="73">
        <v>7685.54</v>
      </c>
      <c r="P9" s="73">
        <f t="shared" si="0"/>
        <v>169081.88</v>
      </c>
      <c r="Q9" s="71">
        <v>28</v>
      </c>
      <c r="R9" s="71">
        <v>30</v>
      </c>
      <c r="S9" s="71">
        <f t="shared" si="2"/>
        <v>2</v>
      </c>
      <c r="T9" s="71" t="str">
        <f t="shared" si="1"/>
        <v>No</v>
      </c>
      <c r="U9" s="71">
        <v>2214</v>
      </c>
      <c r="V9" s="71">
        <v>32</v>
      </c>
      <c r="W9" s="71">
        <v>25</v>
      </c>
      <c r="X9" s="71">
        <v>18</v>
      </c>
      <c r="Y9" s="71">
        <v>25</v>
      </c>
      <c r="Z9" s="73">
        <v>5861.24</v>
      </c>
      <c r="AA9" s="73">
        <v>6021</v>
      </c>
      <c r="AB9" s="74">
        <v>0.82</v>
      </c>
    </row>
    <row r="10" spans="1:28" ht="14.4" x14ac:dyDescent="0.3">
      <c r="A10" s="79" t="s">
        <v>107</v>
      </c>
      <c r="B10" s="80">
        <v>44944</v>
      </c>
      <c r="C10" s="79" t="s">
        <v>53</v>
      </c>
      <c r="D10" s="79" t="s">
        <v>54</v>
      </c>
      <c r="E10" s="79" t="s">
        <v>43</v>
      </c>
      <c r="F10" s="79" t="s">
        <v>55</v>
      </c>
      <c r="G10" s="79" t="s">
        <v>67</v>
      </c>
      <c r="H10" s="79" t="s">
        <v>68</v>
      </c>
      <c r="I10" s="79" t="s">
        <v>69</v>
      </c>
      <c r="J10" s="79" t="s">
        <v>70</v>
      </c>
      <c r="K10" s="79" t="s">
        <v>108</v>
      </c>
      <c r="L10" s="79" t="s">
        <v>109</v>
      </c>
      <c r="M10" s="79" t="s">
        <v>62</v>
      </c>
      <c r="N10" s="79">
        <v>436</v>
      </c>
      <c r="O10" s="81">
        <v>679.85</v>
      </c>
      <c r="P10" s="81">
        <f t="shared" si="0"/>
        <v>296414.60000000003</v>
      </c>
      <c r="Q10" s="79">
        <v>30</v>
      </c>
      <c r="R10" s="79">
        <v>38</v>
      </c>
      <c r="S10" s="79">
        <f t="shared" si="2"/>
        <v>8</v>
      </c>
      <c r="T10" s="79" t="str">
        <f t="shared" si="1"/>
        <v>No</v>
      </c>
      <c r="U10" s="79">
        <v>129</v>
      </c>
      <c r="V10" s="79">
        <v>443</v>
      </c>
      <c r="W10" s="79">
        <v>436</v>
      </c>
      <c r="X10" s="79">
        <v>3.5</v>
      </c>
      <c r="Y10" s="79">
        <v>5</v>
      </c>
      <c r="Z10" s="81">
        <v>497.05</v>
      </c>
      <c r="AA10" s="81">
        <v>6858</v>
      </c>
      <c r="AB10" s="82">
        <v>0.86</v>
      </c>
    </row>
    <row r="11" spans="1:28" ht="14.4" x14ac:dyDescent="0.3">
      <c r="A11" s="71" t="s">
        <v>110</v>
      </c>
      <c r="B11" s="72">
        <v>44945</v>
      </c>
      <c r="C11" s="71" t="s">
        <v>111</v>
      </c>
      <c r="D11" s="71" t="s">
        <v>112</v>
      </c>
      <c r="E11" s="71" t="s">
        <v>87</v>
      </c>
      <c r="F11" s="71" t="s">
        <v>113</v>
      </c>
      <c r="G11" s="71" t="s">
        <v>114</v>
      </c>
      <c r="H11" s="71" t="s">
        <v>115</v>
      </c>
      <c r="I11" s="71" t="s">
        <v>58</v>
      </c>
      <c r="J11" s="71" t="s">
        <v>90</v>
      </c>
      <c r="K11" s="71" t="s">
        <v>81</v>
      </c>
      <c r="L11" s="71" t="s">
        <v>82</v>
      </c>
      <c r="M11" s="71" t="s">
        <v>83</v>
      </c>
      <c r="N11" s="71">
        <v>580</v>
      </c>
      <c r="O11" s="73">
        <v>881.68</v>
      </c>
      <c r="P11" s="73">
        <f t="shared" si="0"/>
        <v>511374.39999999997</v>
      </c>
      <c r="Q11" s="71">
        <v>7</v>
      </c>
      <c r="R11" s="71">
        <v>14</v>
      </c>
      <c r="S11" s="71">
        <f t="shared" si="2"/>
        <v>7</v>
      </c>
      <c r="T11" s="71" t="str">
        <f t="shared" si="1"/>
        <v>No</v>
      </c>
      <c r="U11" s="71">
        <v>2555</v>
      </c>
      <c r="V11" s="71">
        <v>617</v>
      </c>
      <c r="W11" s="71">
        <v>878</v>
      </c>
      <c r="X11" s="71">
        <v>4</v>
      </c>
      <c r="Y11" s="71">
        <v>6</v>
      </c>
      <c r="Z11" s="73">
        <v>628.16999999999996</v>
      </c>
      <c r="AA11" s="73">
        <v>5862</v>
      </c>
      <c r="AB11" s="74">
        <v>0.89</v>
      </c>
    </row>
    <row r="12" spans="1:28" ht="14.4" x14ac:dyDescent="0.3">
      <c r="A12" s="71" t="s">
        <v>116</v>
      </c>
      <c r="B12" s="72">
        <v>44946</v>
      </c>
      <c r="C12" s="71" t="s">
        <v>117</v>
      </c>
      <c r="D12" s="71" t="s">
        <v>118</v>
      </c>
      <c r="E12" s="71" t="s">
        <v>87</v>
      </c>
      <c r="F12" s="71" t="s">
        <v>55</v>
      </c>
      <c r="G12" s="71" t="s">
        <v>114</v>
      </c>
      <c r="H12" s="71" t="s">
        <v>115</v>
      </c>
      <c r="I12" s="71" t="s">
        <v>58</v>
      </c>
      <c r="J12" s="71" t="s">
        <v>90</v>
      </c>
      <c r="K12" s="71" t="s">
        <v>81</v>
      </c>
      <c r="L12" s="71" t="s">
        <v>82</v>
      </c>
      <c r="M12" s="71" t="s">
        <v>83</v>
      </c>
      <c r="N12" s="71">
        <v>432</v>
      </c>
      <c r="O12" s="73">
        <v>2359.7800000000002</v>
      </c>
      <c r="P12" s="73">
        <f t="shared" si="0"/>
        <v>1019424.9600000001</v>
      </c>
      <c r="Q12" s="71">
        <v>18</v>
      </c>
      <c r="R12" s="71">
        <v>24</v>
      </c>
      <c r="S12" s="71">
        <f t="shared" si="2"/>
        <v>6</v>
      </c>
      <c r="T12" s="71" t="str">
        <f t="shared" si="1"/>
        <v>No</v>
      </c>
      <c r="U12" s="71">
        <v>2524</v>
      </c>
      <c r="V12" s="71">
        <v>606</v>
      </c>
      <c r="W12" s="71">
        <v>855</v>
      </c>
      <c r="X12" s="71">
        <v>7</v>
      </c>
      <c r="Y12" s="71">
        <v>10</v>
      </c>
      <c r="Z12" s="73">
        <v>1763.15</v>
      </c>
      <c r="AA12" s="73">
        <v>1010</v>
      </c>
      <c r="AB12" s="74">
        <v>0.9</v>
      </c>
    </row>
    <row r="13" spans="1:28" ht="14.4" x14ac:dyDescent="0.3">
      <c r="A13" s="71" t="s">
        <v>119</v>
      </c>
      <c r="B13" s="72">
        <v>44949</v>
      </c>
      <c r="C13" s="71" t="s">
        <v>120</v>
      </c>
      <c r="D13" s="71" t="s">
        <v>121</v>
      </c>
      <c r="E13" s="71" t="s">
        <v>43</v>
      </c>
      <c r="F13" s="71" t="s">
        <v>55</v>
      </c>
      <c r="G13" s="71" t="s">
        <v>122</v>
      </c>
      <c r="H13" s="71" t="s">
        <v>123</v>
      </c>
      <c r="I13" s="71" t="s">
        <v>69</v>
      </c>
      <c r="J13" s="71" t="s">
        <v>80</v>
      </c>
      <c r="K13" s="71" t="s">
        <v>108</v>
      </c>
      <c r="L13" s="71" t="s">
        <v>109</v>
      </c>
      <c r="M13" s="71" t="s">
        <v>62</v>
      </c>
      <c r="N13" s="71">
        <v>773</v>
      </c>
      <c r="O13" s="73">
        <v>2290.7399999999998</v>
      </c>
      <c r="P13" s="73">
        <f t="shared" si="0"/>
        <v>1770742.0199999998</v>
      </c>
      <c r="Q13" s="71">
        <v>7</v>
      </c>
      <c r="R13" s="71">
        <v>5</v>
      </c>
      <c r="S13" s="71">
        <f t="shared" si="2"/>
        <v>0</v>
      </c>
      <c r="T13" s="71" t="str">
        <f t="shared" si="1"/>
        <v>Yes</v>
      </c>
      <c r="U13" s="71">
        <v>1755</v>
      </c>
      <c r="V13" s="71">
        <v>551</v>
      </c>
      <c r="W13" s="71">
        <v>465</v>
      </c>
      <c r="X13" s="71">
        <v>6</v>
      </c>
      <c r="Y13" s="71">
        <v>9</v>
      </c>
      <c r="Z13" s="73">
        <v>1829.9</v>
      </c>
      <c r="AA13" s="73">
        <v>7825</v>
      </c>
      <c r="AB13" s="74">
        <v>0.72</v>
      </c>
    </row>
    <row r="14" spans="1:28" ht="14.4" x14ac:dyDescent="0.3">
      <c r="A14" s="79" t="s">
        <v>124</v>
      </c>
      <c r="B14" s="80">
        <v>44955</v>
      </c>
      <c r="C14" s="79" t="s">
        <v>125</v>
      </c>
      <c r="D14" s="79" t="s">
        <v>126</v>
      </c>
      <c r="E14" s="79" t="s">
        <v>127</v>
      </c>
      <c r="F14" s="79" t="s">
        <v>128</v>
      </c>
      <c r="G14" s="79" t="s">
        <v>122</v>
      </c>
      <c r="H14" s="79" t="s">
        <v>123</v>
      </c>
      <c r="I14" s="79" t="s">
        <v>69</v>
      </c>
      <c r="J14" s="79" t="s">
        <v>80</v>
      </c>
      <c r="K14" s="79" t="s">
        <v>49</v>
      </c>
      <c r="L14" s="79" t="s">
        <v>50</v>
      </c>
      <c r="M14" s="79" t="s">
        <v>51</v>
      </c>
      <c r="N14" s="79">
        <v>675</v>
      </c>
      <c r="O14" s="81">
        <v>3148.23</v>
      </c>
      <c r="P14" s="81">
        <f t="shared" si="0"/>
        <v>2125055.25</v>
      </c>
      <c r="Q14" s="79">
        <v>9</v>
      </c>
      <c r="R14" s="79">
        <v>9</v>
      </c>
      <c r="S14" s="79">
        <f t="shared" si="2"/>
        <v>0</v>
      </c>
      <c r="T14" s="79" t="str">
        <f t="shared" si="1"/>
        <v>Yes</v>
      </c>
      <c r="U14" s="79">
        <v>176</v>
      </c>
      <c r="V14" s="79">
        <v>434</v>
      </c>
      <c r="W14" s="79">
        <v>599</v>
      </c>
      <c r="X14" s="79">
        <v>11</v>
      </c>
      <c r="Y14" s="79">
        <v>15</v>
      </c>
      <c r="Z14" s="81">
        <v>2327.2199999999998</v>
      </c>
      <c r="AA14" s="81">
        <v>1636</v>
      </c>
      <c r="AB14" s="82">
        <v>0.91</v>
      </c>
    </row>
    <row r="15" spans="1:28" ht="14.4" x14ac:dyDescent="0.3">
      <c r="A15" s="71" t="s">
        <v>129</v>
      </c>
      <c r="B15" s="72">
        <v>44955</v>
      </c>
      <c r="C15" s="71" t="s">
        <v>111</v>
      </c>
      <c r="D15" s="71" t="s">
        <v>112</v>
      </c>
      <c r="E15" s="71" t="s">
        <v>87</v>
      </c>
      <c r="F15" s="71" t="s">
        <v>55</v>
      </c>
      <c r="G15" s="71" t="s">
        <v>130</v>
      </c>
      <c r="H15" s="71" t="s">
        <v>131</v>
      </c>
      <c r="I15" s="71" t="s">
        <v>69</v>
      </c>
      <c r="J15" s="71" t="s">
        <v>70</v>
      </c>
      <c r="K15" s="71" t="s">
        <v>91</v>
      </c>
      <c r="L15" s="71" t="s">
        <v>92</v>
      </c>
      <c r="M15" s="71" t="s">
        <v>51</v>
      </c>
      <c r="N15" s="71">
        <v>49</v>
      </c>
      <c r="O15" s="73">
        <v>788.04</v>
      </c>
      <c r="P15" s="73">
        <f t="shared" si="0"/>
        <v>38613.96</v>
      </c>
      <c r="Q15" s="71">
        <v>18</v>
      </c>
      <c r="R15" s="71">
        <v>21</v>
      </c>
      <c r="S15" s="71">
        <f t="shared" si="2"/>
        <v>3</v>
      </c>
      <c r="T15" s="71" t="str">
        <f t="shared" si="1"/>
        <v>No</v>
      </c>
      <c r="U15" s="71">
        <v>1304</v>
      </c>
      <c r="V15" s="71">
        <v>40</v>
      </c>
      <c r="W15" s="71">
        <v>59</v>
      </c>
      <c r="X15" s="71">
        <v>4</v>
      </c>
      <c r="Y15" s="71">
        <v>6</v>
      </c>
      <c r="Z15" s="73">
        <v>491.05</v>
      </c>
      <c r="AA15" s="73">
        <v>7868</v>
      </c>
      <c r="AB15" s="74">
        <v>0.86</v>
      </c>
    </row>
    <row r="16" spans="1:28" ht="14.4" x14ac:dyDescent="0.3">
      <c r="A16" s="79" t="s">
        <v>132</v>
      </c>
      <c r="B16" s="80">
        <v>44956</v>
      </c>
      <c r="C16" s="79" t="s">
        <v>133</v>
      </c>
      <c r="D16" s="79" t="s">
        <v>134</v>
      </c>
      <c r="E16" s="79" t="s">
        <v>100</v>
      </c>
      <c r="F16" s="79" t="s">
        <v>55</v>
      </c>
      <c r="G16" s="79" t="s">
        <v>135</v>
      </c>
      <c r="H16" s="79" t="s">
        <v>136</v>
      </c>
      <c r="I16" s="79" t="s">
        <v>137</v>
      </c>
      <c r="J16" s="79" t="s">
        <v>138</v>
      </c>
      <c r="K16" s="79" t="s">
        <v>104</v>
      </c>
      <c r="L16" s="79" t="s">
        <v>105</v>
      </c>
      <c r="M16" s="79" t="s">
        <v>106</v>
      </c>
      <c r="N16" s="79">
        <v>953</v>
      </c>
      <c r="O16" s="81">
        <v>2068.41</v>
      </c>
      <c r="P16" s="81">
        <f t="shared" si="0"/>
        <v>1971194.7299999997</v>
      </c>
      <c r="Q16" s="79">
        <v>5</v>
      </c>
      <c r="R16" s="79">
        <v>5</v>
      </c>
      <c r="S16" s="79">
        <f t="shared" si="2"/>
        <v>0</v>
      </c>
      <c r="T16" s="79" t="str">
        <f t="shared" si="1"/>
        <v>Yes</v>
      </c>
      <c r="U16" s="79">
        <v>606</v>
      </c>
      <c r="V16" s="79">
        <v>933</v>
      </c>
      <c r="W16" s="79">
        <v>1008</v>
      </c>
      <c r="X16" s="79">
        <v>8</v>
      </c>
      <c r="Y16" s="79">
        <v>12</v>
      </c>
      <c r="Z16" s="81">
        <v>1299.74</v>
      </c>
      <c r="AA16" s="81">
        <v>5686</v>
      </c>
      <c r="AB16" s="82">
        <v>0.97</v>
      </c>
    </row>
    <row r="17" spans="1:28" ht="14.4" x14ac:dyDescent="0.3">
      <c r="A17" s="71" t="s">
        <v>139</v>
      </c>
      <c r="B17" s="72">
        <v>44956</v>
      </c>
      <c r="C17" s="71" t="s">
        <v>64</v>
      </c>
      <c r="D17" s="71" t="s">
        <v>65</v>
      </c>
      <c r="E17" s="71" t="s">
        <v>43</v>
      </c>
      <c r="F17" s="71" t="s">
        <v>128</v>
      </c>
      <c r="G17" s="71" t="s">
        <v>140</v>
      </c>
      <c r="H17" s="71" t="s">
        <v>141</v>
      </c>
      <c r="I17" s="71" t="s">
        <v>58</v>
      </c>
      <c r="J17" s="71" t="s">
        <v>90</v>
      </c>
      <c r="K17" s="71" t="s">
        <v>49</v>
      </c>
      <c r="L17" s="71" t="s">
        <v>50</v>
      </c>
      <c r="M17" s="71" t="s">
        <v>51</v>
      </c>
      <c r="N17" s="71">
        <v>281</v>
      </c>
      <c r="O17" s="73">
        <v>478.25</v>
      </c>
      <c r="P17" s="73">
        <f t="shared" si="0"/>
        <v>134388.25</v>
      </c>
      <c r="Q17" s="71">
        <v>29</v>
      </c>
      <c r="R17" s="71">
        <v>36</v>
      </c>
      <c r="S17" s="71">
        <f t="shared" si="2"/>
        <v>7</v>
      </c>
      <c r="T17" s="71" t="str">
        <f t="shared" si="1"/>
        <v>No</v>
      </c>
      <c r="U17" s="71">
        <v>1726</v>
      </c>
      <c r="V17" s="71">
        <v>292</v>
      </c>
      <c r="W17" s="71">
        <v>239</v>
      </c>
      <c r="X17" s="71">
        <v>3</v>
      </c>
      <c r="Y17" s="71">
        <v>5</v>
      </c>
      <c r="Z17" s="73">
        <v>371.98</v>
      </c>
      <c r="AA17" s="73">
        <v>4969</v>
      </c>
      <c r="AB17" s="74">
        <v>0.78</v>
      </c>
    </row>
    <row r="18" spans="1:28" ht="14.4" x14ac:dyDescent="0.3">
      <c r="A18" s="71" t="s">
        <v>142</v>
      </c>
      <c r="B18" s="72">
        <v>44956</v>
      </c>
      <c r="C18" s="71" t="s">
        <v>120</v>
      </c>
      <c r="D18" s="71" t="s">
        <v>121</v>
      </c>
      <c r="E18" s="71" t="s">
        <v>43</v>
      </c>
      <c r="F18" s="71" t="s">
        <v>55</v>
      </c>
      <c r="G18" s="71" t="s">
        <v>67</v>
      </c>
      <c r="H18" s="71" t="s">
        <v>68</v>
      </c>
      <c r="I18" s="71" t="s">
        <v>69</v>
      </c>
      <c r="J18" s="71" t="s">
        <v>70</v>
      </c>
      <c r="K18" s="71" t="s">
        <v>60</v>
      </c>
      <c r="L18" s="71" t="s">
        <v>61</v>
      </c>
      <c r="M18" s="71" t="s">
        <v>62</v>
      </c>
      <c r="N18" s="71">
        <v>751</v>
      </c>
      <c r="O18" s="73">
        <v>2259.0300000000002</v>
      </c>
      <c r="P18" s="73">
        <f t="shared" si="0"/>
        <v>1696531.5300000003</v>
      </c>
      <c r="Q18" s="71">
        <v>19</v>
      </c>
      <c r="R18" s="71">
        <v>19</v>
      </c>
      <c r="S18" s="71">
        <f t="shared" si="2"/>
        <v>0</v>
      </c>
      <c r="T18" s="71" t="str">
        <f t="shared" si="1"/>
        <v>Yes</v>
      </c>
      <c r="U18" s="71">
        <v>2568</v>
      </c>
      <c r="V18" s="71">
        <v>706</v>
      </c>
      <c r="W18" s="71">
        <v>1013</v>
      </c>
      <c r="X18" s="71">
        <v>6</v>
      </c>
      <c r="Y18" s="71">
        <v>9</v>
      </c>
      <c r="Z18" s="73">
        <v>1622.84</v>
      </c>
      <c r="AA18" s="73">
        <v>5931</v>
      </c>
      <c r="AB18" s="74">
        <v>0.71</v>
      </c>
    </row>
    <row r="19" spans="1:28" ht="14.4" x14ac:dyDescent="0.3">
      <c r="A19" s="71" t="s">
        <v>143</v>
      </c>
      <c r="B19" s="72">
        <v>44959</v>
      </c>
      <c r="C19" s="71" t="s">
        <v>125</v>
      </c>
      <c r="D19" s="71" t="s">
        <v>126</v>
      </c>
      <c r="E19" s="71" t="s">
        <v>127</v>
      </c>
      <c r="F19" s="71" t="s">
        <v>113</v>
      </c>
      <c r="G19" s="71" t="s">
        <v>94</v>
      </c>
      <c r="H19" s="71" t="s">
        <v>95</v>
      </c>
      <c r="I19" s="71" t="s">
        <v>58</v>
      </c>
      <c r="J19" s="71" t="s">
        <v>96</v>
      </c>
      <c r="K19" s="71" t="s">
        <v>71</v>
      </c>
      <c r="L19" s="71" t="s">
        <v>72</v>
      </c>
      <c r="M19" s="71" t="s">
        <v>73</v>
      </c>
      <c r="N19" s="71">
        <v>226</v>
      </c>
      <c r="O19" s="73">
        <v>3610.51</v>
      </c>
      <c r="P19" s="73">
        <f t="shared" si="0"/>
        <v>815975.26</v>
      </c>
      <c r="Q19" s="71">
        <v>23</v>
      </c>
      <c r="R19" s="71">
        <v>26</v>
      </c>
      <c r="S19" s="71">
        <f t="shared" si="2"/>
        <v>3</v>
      </c>
      <c r="T19" s="71" t="str">
        <f t="shared" si="1"/>
        <v>No</v>
      </c>
      <c r="U19" s="71">
        <v>890</v>
      </c>
      <c r="V19" s="71">
        <v>245</v>
      </c>
      <c r="W19" s="71">
        <v>263</v>
      </c>
      <c r="X19" s="71">
        <v>11</v>
      </c>
      <c r="Y19" s="71">
        <v>15</v>
      </c>
      <c r="Z19" s="73">
        <v>2826.7</v>
      </c>
      <c r="AA19" s="73">
        <v>4258</v>
      </c>
      <c r="AB19" s="74">
        <v>0.74</v>
      </c>
    </row>
    <row r="20" spans="1:28" ht="14.4" x14ac:dyDescent="0.3">
      <c r="A20" s="71" t="s">
        <v>144</v>
      </c>
      <c r="B20" s="72">
        <v>44965</v>
      </c>
      <c r="C20" s="71" t="s">
        <v>75</v>
      </c>
      <c r="D20" s="71" t="s">
        <v>76</v>
      </c>
      <c r="E20" s="71" t="s">
        <v>77</v>
      </c>
      <c r="F20" s="71" t="s">
        <v>66</v>
      </c>
      <c r="G20" s="71" t="s">
        <v>145</v>
      </c>
      <c r="H20" s="71" t="s">
        <v>146</v>
      </c>
      <c r="I20" s="71" t="s">
        <v>69</v>
      </c>
      <c r="J20" s="71" t="s">
        <v>70</v>
      </c>
      <c r="K20" s="71" t="s">
        <v>60</v>
      </c>
      <c r="L20" s="71" t="s">
        <v>61</v>
      </c>
      <c r="M20" s="71" t="s">
        <v>62</v>
      </c>
      <c r="N20" s="71">
        <v>982</v>
      </c>
      <c r="O20" s="73">
        <v>76.8</v>
      </c>
      <c r="P20" s="73">
        <f t="shared" si="0"/>
        <v>75417.599999999991</v>
      </c>
      <c r="Q20" s="71">
        <v>15</v>
      </c>
      <c r="R20" s="71">
        <v>21</v>
      </c>
      <c r="S20" s="71">
        <f t="shared" si="2"/>
        <v>6</v>
      </c>
      <c r="T20" s="71" t="str">
        <f t="shared" si="1"/>
        <v>No</v>
      </c>
      <c r="U20" s="71">
        <v>800</v>
      </c>
      <c r="V20" s="71">
        <v>315</v>
      </c>
      <c r="W20" s="71">
        <v>252</v>
      </c>
      <c r="X20" s="71">
        <v>2</v>
      </c>
      <c r="Y20" s="71">
        <v>3</v>
      </c>
      <c r="Z20" s="73">
        <v>57.35</v>
      </c>
      <c r="AA20" s="73">
        <v>2353</v>
      </c>
      <c r="AB20" s="74">
        <v>0.89</v>
      </c>
    </row>
    <row r="21" spans="1:28" ht="15.75" customHeight="1" x14ac:dyDescent="0.3">
      <c r="A21" s="79" t="s">
        <v>147</v>
      </c>
      <c r="B21" s="80">
        <v>44969</v>
      </c>
      <c r="C21" s="79" t="s">
        <v>117</v>
      </c>
      <c r="D21" s="79" t="s">
        <v>118</v>
      </c>
      <c r="E21" s="79" t="s">
        <v>87</v>
      </c>
      <c r="F21" s="79" t="s">
        <v>44</v>
      </c>
      <c r="G21" s="79" t="s">
        <v>140</v>
      </c>
      <c r="H21" s="79" t="s">
        <v>141</v>
      </c>
      <c r="I21" s="79" t="s">
        <v>58</v>
      </c>
      <c r="J21" s="79" t="s">
        <v>90</v>
      </c>
      <c r="K21" s="79" t="s">
        <v>81</v>
      </c>
      <c r="L21" s="79" t="s">
        <v>82</v>
      </c>
      <c r="M21" s="79" t="s">
        <v>83</v>
      </c>
      <c r="N21" s="79">
        <v>339</v>
      </c>
      <c r="O21" s="81">
        <v>2312.75</v>
      </c>
      <c r="P21" s="81">
        <f t="shared" si="0"/>
        <v>784022.25</v>
      </c>
      <c r="Q21" s="79">
        <v>21</v>
      </c>
      <c r="R21" s="79">
        <v>21</v>
      </c>
      <c r="S21" s="79">
        <f t="shared" si="2"/>
        <v>0</v>
      </c>
      <c r="T21" s="79" t="str">
        <f t="shared" si="1"/>
        <v>Yes</v>
      </c>
      <c r="U21" s="79">
        <v>273</v>
      </c>
      <c r="V21" s="79">
        <v>284</v>
      </c>
      <c r="W21" s="79">
        <v>388</v>
      </c>
      <c r="X21" s="79">
        <v>7</v>
      </c>
      <c r="Y21" s="79">
        <v>10</v>
      </c>
      <c r="Z21" s="81">
        <v>1774.98</v>
      </c>
      <c r="AA21" s="81">
        <v>6351</v>
      </c>
      <c r="AB21" s="82">
        <v>0.72</v>
      </c>
    </row>
    <row r="22" spans="1:28" ht="15.75" customHeight="1" x14ac:dyDescent="0.3">
      <c r="A22" s="79" t="s">
        <v>148</v>
      </c>
      <c r="B22" s="80">
        <v>44974</v>
      </c>
      <c r="C22" s="79" t="s">
        <v>64</v>
      </c>
      <c r="D22" s="79" t="s">
        <v>65</v>
      </c>
      <c r="E22" s="79" t="s">
        <v>43</v>
      </c>
      <c r="F22" s="79" t="s">
        <v>55</v>
      </c>
      <c r="G22" s="79" t="s">
        <v>149</v>
      </c>
      <c r="H22" s="79" t="s">
        <v>150</v>
      </c>
      <c r="I22" s="79" t="s">
        <v>58</v>
      </c>
      <c r="J22" s="79" t="s">
        <v>59</v>
      </c>
      <c r="K22" s="79" t="s">
        <v>49</v>
      </c>
      <c r="L22" s="79" t="s">
        <v>50</v>
      </c>
      <c r="M22" s="79" t="s">
        <v>51</v>
      </c>
      <c r="N22" s="79">
        <v>587</v>
      </c>
      <c r="O22" s="81">
        <v>479.04</v>
      </c>
      <c r="P22" s="81">
        <f t="shared" si="0"/>
        <v>281196.48000000004</v>
      </c>
      <c r="Q22" s="79">
        <v>10</v>
      </c>
      <c r="R22" s="79">
        <v>13</v>
      </c>
      <c r="S22" s="79">
        <f t="shared" si="2"/>
        <v>3</v>
      </c>
      <c r="T22" s="79" t="str">
        <f t="shared" si="1"/>
        <v>No</v>
      </c>
      <c r="U22" s="79">
        <v>84</v>
      </c>
      <c r="V22" s="79">
        <v>853</v>
      </c>
      <c r="W22" s="79">
        <v>1032</v>
      </c>
      <c r="X22" s="79">
        <v>3</v>
      </c>
      <c r="Y22" s="79">
        <v>5</v>
      </c>
      <c r="Z22" s="81">
        <v>359.49</v>
      </c>
      <c r="AA22" s="81">
        <v>6338</v>
      </c>
      <c r="AB22" s="82">
        <v>0.93</v>
      </c>
    </row>
    <row r="23" spans="1:28" ht="15.75" customHeight="1" x14ac:dyDescent="0.3">
      <c r="A23" s="71" t="s">
        <v>151</v>
      </c>
      <c r="B23" s="72">
        <v>44975</v>
      </c>
      <c r="C23" s="71" t="s">
        <v>125</v>
      </c>
      <c r="D23" s="71" t="s">
        <v>126</v>
      </c>
      <c r="E23" s="71" t="s">
        <v>127</v>
      </c>
      <c r="F23" s="71" t="s">
        <v>55</v>
      </c>
      <c r="G23" s="71" t="s">
        <v>152</v>
      </c>
      <c r="H23" s="71" t="s">
        <v>153</v>
      </c>
      <c r="I23" s="71" t="s">
        <v>58</v>
      </c>
      <c r="J23" s="71" t="s">
        <v>59</v>
      </c>
      <c r="K23" s="71" t="s">
        <v>91</v>
      </c>
      <c r="L23" s="71" t="s">
        <v>92</v>
      </c>
      <c r="M23" s="71" t="s">
        <v>51</v>
      </c>
      <c r="N23" s="71">
        <v>457</v>
      </c>
      <c r="O23" s="73">
        <v>3591.59</v>
      </c>
      <c r="P23" s="73">
        <f t="shared" si="0"/>
        <v>1641356.6300000001</v>
      </c>
      <c r="Q23" s="71">
        <v>28</v>
      </c>
      <c r="R23" s="71">
        <v>33</v>
      </c>
      <c r="S23" s="71">
        <f t="shared" si="2"/>
        <v>5</v>
      </c>
      <c r="T23" s="71" t="str">
        <f t="shared" si="1"/>
        <v>No</v>
      </c>
      <c r="U23" s="71">
        <v>1603</v>
      </c>
      <c r="V23" s="71">
        <v>323</v>
      </c>
      <c r="W23" s="71">
        <v>300</v>
      </c>
      <c r="X23" s="71">
        <v>11</v>
      </c>
      <c r="Y23" s="71">
        <v>15</v>
      </c>
      <c r="Z23" s="73">
        <v>2652.08</v>
      </c>
      <c r="AA23" s="73">
        <v>3509</v>
      </c>
      <c r="AB23" s="74">
        <v>0.96</v>
      </c>
    </row>
    <row r="24" spans="1:28" ht="15.75" customHeight="1" x14ac:dyDescent="0.3">
      <c r="A24" s="79" t="s">
        <v>154</v>
      </c>
      <c r="B24" s="80">
        <v>44977</v>
      </c>
      <c r="C24" s="79" t="s">
        <v>155</v>
      </c>
      <c r="D24" s="79" t="s">
        <v>156</v>
      </c>
      <c r="E24" s="79" t="s">
        <v>87</v>
      </c>
      <c r="F24" s="79" t="s">
        <v>113</v>
      </c>
      <c r="G24" s="79" t="s">
        <v>122</v>
      </c>
      <c r="H24" s="79" t="s">
        <v>123</v>
      </c>
      <c r="I24" s="79" t="s">
        <v>69</v>
      </c>
      <c r="J24" s="79" t="s">
        <v>80</v>
      </c>
      <c r="K24" s="79" t="s">
        <v>91</v>
      </c>
      <c r="L24" s="79" t="s">
        <v>92</v>
      </c>
      <c r="M24" s="79" t="s">
        <v>51</v>
      </c>
      <c r="N24" s="79">
        <v>804</v>
      </c>
      <c r="O24" s="81">
        <v>197.95</v>
      </c>
      <c r="P24" s="81">
        <f t="shared" si="0"/>
        <v>159151.79999999999</v>
      </c>
      <c r="Q24" s="79">
        <v>24</v>
      </c>
      <c r="R24" s="79">
        <v>27</v>
      </c>
      <c r="S24" s="79">
        <f t="shared" si="2"/>
        <v>3</v>
      </c>
      <c r="T24" s="79" t="str">
        <f t="shared" si="1"/>
        <v>No</v>
      </c>
      <c r="U24" s="79">
        <v>917</v>
      </c>
      <c r="V24" s="79">
        <v>855</v>
      </c>
      <c r="W24" s="79">
        <v>1055</v>
      </c>
      <c r="X24" s="79">
        <v>2.5</v>
      </c>
      <c r="Y24" s="79">
        <v>4</v>
      </c>
      <c r="Z24" s="81">
        <v>145.6</v>
      </c>
      <c r="AA24" s="81">
        <v>6405</v>
      </c>
      <c r="AB24" s="82">
        <v>0.91</v>
      </c>
    </row>
    <row r="25" spans="1:28" ht="15.75" customHeight="1" x14ac:dyDescent="0.3">
      <c r="A25" s="71" t="s">
        <v>157</v>
      </c>
      <c r="B25" s="72">
        <v>44982</v>
      </c>
      <c r="C25" s="71" t="s">
        <v>98</v>
      </c>
      <c r="D25" s="71" t="s">
        <v>99</v>
      </c>
      <c r="E25" s="71" t="s">
        <v>100</v>
      </c>
      <c r="F25" s="71" t="s">
        <v>66</v>
      </c>
      <c r="G25" s="71" t="s">
        <v>158</v>
      </c>
      <c r="H25" s="71" t="s">
        <v>159</v>
      </c>
      <c r="I25" s="71" t="s">
        <v>69</v>
      </c>
      <c r="J25" s="71" t="s">
        <v>70</v>
      </c>
      <c r="K25" s="71" t="s">
        <v>104</v>
      </c>
      <c r="L25" s="71" t="s">
        <v>105</v>
      </c>
      <c r="M25" s="71" t="s">
        <v>106</v>
      </c>
      <c r="N25" s="71">
        <v>882</v>
      </c>
      <c r="O25" s="73">
        <v>8703.65</v>
      </c>
      <c r="P25" s="73">
        <f t="shared" si="0"/>
        <v>7676619.2999999998</v>
      </c>
      <c r="Q25" s="71">
        <v>10</v>
      </c>
      <c r="R25" s="71">
        <v>9</v>
      </c>
      <c r="S25" s="71">
        <f t="shared" si="2"/>
        <v>0</v>
      </c>
      <c r="T25" s="71" t="str">
        <f t="shared" si="1"/>
        <v>Yes</v>
      </c>
      <c r="U25" s="71">
        <v>2033</v>
      </c>
      <c r="V25" s="71">
        <v>603</v>
      </c>
      <c r="W25" s="71">
        <v>622</v>
      </c>
      <c r="X25" s="71">
        <v>18</v>
      </c>
      <c r="Y25" s="71">
        <v>25</v>
      </c>
      <c r="Z25" s="73">
        <v>5706.39</v>
      </c>
      <c r="AA25" s="73">
        <v>4652</v>
      </c>
      <c r="AB25" s="74">
        <v>0.76</v>
      </c>
    </row>
    <row r="26" spans="1:28" ht="15.75" customHeight="1" x14ac:dyDescent="0.3">
      <c r="A26" s="71" t="s">
        <v>160</v>
      </c>
      <c r="B26" s="72">
        <v>44982</v>
      </c>
      <c r="C26" s="71" t="s">
        <v>161</v>
      </c>
      <c r="D26" s="71" t="s">
        <v>162</v>
      </c>
      <c r="E26" s="71" t="s">
        <v>77</v>
      </c>
      <c r="F26" s="71" t="s">
        <v>113</v>
      </c>
      <c r="G26" s="71" t="s">
        <v>45</v>
      </c>
      <c r="H26" s="71" t="s">
        <v>46</v>
      </c>
      <c r="I26" s="71" t="s">
        <v>47</v>
      </c>
      <c r="J26" s="71" t="s">
        <v>48</v>
      </c>
      <c r="K26" s="71" t="s">
        <v>81</v>
      </c>
      <c r="L26" s="71" t="s">
        <v>82</v>
      </c>
      <c r="M26" s="71" t="s">
        <v>83</v>
      </c>
      <c r="N26" s="71">
        <v>256</v>
      </c>
      <c r="O26" s="73">
        <v>46.12</v>
      </c>
      <c r="P26" s="73">
        <f t="shared" si="0"/>
        <v>11806.72</v>
      </c>
      <c r="Q26" s="71">
        <v>24</v>
      </c>
      <c r="R26" s="71">
        <v>23</v>
      </c>
      <c r="S26" s="71">
        <f t="shared" si="2"/>
        <v>0</v>
      </c>
      <c r="T26" s="71" t="str">
        <f t="shared" si="1"/>
        <v>Yes</v>
      </c>
      <c r="U26" s="71">
        <v>2183</v>
      </c>
      <c r="V26" s="71">
        <v>349</v>
      </c>
      <c r="W26" s="71">
        <v>282</v>
      </c>
      <c r="X26" s="71">
        <v>1.5</v>
      </c>
      <c r="Y26" s="71">
        <v>2</v>
      </c>
      <c r="Z26" s="73">
        <v>31</v>
      </c>
      <c r="AA26" s="73">
        <v>3092</v>
      </c>
      <c r="AB26" s="74">
        <v>0.74</v>
      </c>
    </row>
    <row r="27" spans="1:28" ht="15.75" customHeight="1" x14ac:dyDescent="0.3">
      <c r="A27" s="71" t="s">
        <v>163</v>
      </c>
      <c r="B27" s="72">
        <v>44986</v>
      </c>
      <c r="C27" s="71" t="s">
        <v>75</v>
      </c>
      <c r="D27" s="71" t="s">
        <v>76</v>
      </c>
      <c r="E27" s="71" t="s">
        <v>77</v>
      </c>
      <c r="F27" s="71" t="s">
        <v>113</v>
      </c>
      <c r="G27" s="71" t="s">
        <v>114</v>
      </c>
      <c r="H27" s="71" t="s">
        <v>115</v>
      </c>
      <c r="I27" s="71" t="s">
        <v>58</v>
      </c>
      <c r="J27" s="71" t="s">
        <v>90</v>
      </c>
      <c r="K27" s="71" t="s">
        <v>81</v>
      </c>
      <c r="L27" s="71" t="s">
        <v>82</v>
      </c>
      <c r="M27" s="71" t="s">
        <v>83</v>
      </c>
      <c r="N27" s="71">
        <v>407</v>
      </c>
      <c r="O27" s="73">
        <v>81.66</v>
      </c>
      <c r="P27" s="73">
        <f t="shared" si="0"/>
        <v>33235.619999999995</v>
      </c>
      <c r="Q27" s="71">
        <v>11</v>
      </c>
      <c r="R27" s="71">
        <v>14</v>
      </c>
      <c r="S27" s="71">
        <f t="shared" si="2"/>
        <v>3</v>
      </c>
      <c r="T27" s="71" t="str">
        <f t="shared" si="1"/>
        <v>No</v>
      </c>
      <c r="U27" s="71">
        <v>2668</v>
      </c>
      <c r="V27" s="71">
        <v>160</v>
      </c>
      <c r="W27" s="71">
        <v>178</v>
      </c>
      <c r="X27" s="71">
        <v>2</v>
      </c>
      <c r="Y27" s="71">
        <v>3</v>
      </c>
      <c r="Z27" s="73">
        <v>55.06</v>
      </c>
      <c r="AA27" s="73">
        <v>4887</v>
      </c>
      <c r="AB27" s="74">
        <v>0.9</v>
      </c>
    </row>
    <row r="28" spans="1:28" ht="15.75" customHeight="1" x14ac:dyDescent="0.3">
      <c r="A28" s="75" t="s">
        <v>164</v>
      </c>
      <c r="B28" s="76">
        <v>44991</v>
      </c>
      <c r="C28" s="75" t="s">
        <v>133</v>
      </c>
      <c r="D28" s="75" t="s">
        <v>134</v>
      </c>
      <c r="E28" s="75" t="s">
        <v>100</v>
      </c>
      <c r="F28" s="75" t="s">
        <v>113</v>
      </c>
      <c r="G28" s="75" t="s">
        <v>94</v>
      </c>
      <c r="H28" s="75" t="s">
        <v>95</v>
      </c>
      <c r="I28" s="75" t="s">
        <v>58</v>
      </c>
      <c r="J28" s="75" t="s">
        <v>96</v>
      </c>
      <c r="K28" s="75" t="s">
        <v>104</v>
      </c>
      <c r="L28" s="75" t="s">
        <v>105</v>
      </c>
      <c r="M28" s="75" t="s">
        <v>106</v>
      </c>
      <c r="N28" s="75">
        <v>316</v>
      </c>
      <c r="O28" s="77">
        <v>2144.2199999999998</v>
      </c>
      <c r="P28" s="77">
        <f t="shared" si="0"/>
        <v>677573.5199999999</v>
      </c>
      <c r="Q28" s="75">
        <v>7</v>
      </c>
      <c r="R28" s="75">
        <v>10</v>
      </c>
      <c r="S28" s="75">
        <f t="shared" si="2"/>
        <v>3</v>
      </c>
      <c r="T28" s="75" t="str">
        <f t="shared" si="1"/>
        <v>No</v>
      </c>
      <c r="U28" s="75">
        <v>1050</v>
      </c>
      <c r="V28" s="75">
        <v>452</v>
      </c>
      <c r="W28" s="75">
        <v>589</v>
      </c>
      <c r="X28" s="75">
        <v>8</v>
      </c>
      <c r="Y28" s="75">
        <v>12</v>
      </c>
      <c r="Z28" s="77">
        <v>1499.15</v>
      </c>
      <c r="AA28" s="77">
        <v>5551</v>
      </c>
      <c r="AB28" s="78">
        <v>0.75</v>
      </c>
    </row>
    <row r="29" spans="1:28" ht="15.75" customHeight="1" x14ac:dyDescent="0.3">
      <c r="A29" s="71" t="s">
        <v>165</v>
      </c>
      <c r="B29" s="72">
        <v>44992</v>
      </c>
      <c r="C29" s="71" t="s">
        <v>125</v>
      </c>
      <c r="D29" s="71" t="s">
        <v>126</v>
      </c>
      <c r="E29" s="71" t="s">
        <v>127</v>
      </c>
      <c r="F29" s="71" t="s">
        <v>128</v>
      </c>
      <c r="G29" s="71" t="s">
        <v>166</v>
      </c>
      <c r="H29" s="71" t="s">
        <v>167</v>
      </c>
      <c r="I29" s="71" t="s">
        <v>69</v>
      </c>
      <c r="J29" s="71" t="s">
        <v>103</v>
      </c>
      <c r="K29" s="71" t="s">
        <v>49</v>
      </c>
      <c r="L29" s="71" t="s">
        <v>50</v>
      </c>
      <c r="M29" s="71" t="s">
        <v>51</v>
      </c>
      <c r="N29" s="71">
        <v>245</v>
      </c>
      <c r="O29" s="73">
        <v>3350.75</v>
      </c>
      <c r="P29" s="73">
        <f t="shared" si="0"/>
        <v>820933.75</v>
      </c>
      <c r="Q29" s="71">
        <v>5</v>
      </c>
      <c r="R29" s="71">
        <v>4</v>
      </c>
      <c r="S29" s="71">
        <f t="shared" si="2"/>
        <v>0</v>
      </c>
      <c r="T29" s="71" t="str">
        <f t="shared" si="1"/>
        <v>Yes</v>
      </c>
      <c r="U29" s="71">
        <v>2919</v>
      </c>
      <c r="V29" s="71">
        <v>259</v>
      </c>
      <c r="W29" s="71">
        <v>248</v>
      </c>
      <c r="X29" s="71">
        <v>11</v>
      </c>
      <c r="Y29" s="71">
        <v>15</v>
      </c>
      <c r="Z29" s="73">
        <v>2617.2199999999998</v>
      </c>
      <c r="AA29" s="73">
        <v>7542</v>
      </c>
      <c r="AB29" s="74">
        <v>0.79</v>
      </c>
    </row>
    <row r="30" spans="1:28" ht="15.75" customHeight="1" x14ac:dyDescent="0.3">
      <c r="A30" s="71" t="s">
        <v>168</v>
      </c>
      <c r="B30" s="72">
        <v>44993</v>
      </c>
      <c r="C30" s="71" t="s">
        <v>169</v>
      </c>
      <c r="D30" s="71" t="s">
        <v>170</v>
      </c>
      <c r="E30" s="71" t="s">
        <v>100</v>
      </c>
      <c r="F30" s="71" t="s">
        <v>113</v>
      </c>
      <c r="G30" s="71" t="s">
        <v>171</v>
      </c>
      <c r="H30" s="71" t="s">
        <v>172</v>
      </c>
      <c r="I30" s="71" t="s">
        <v>58</v>
      </c>
      <c r="J30" s="71" t="s">
        <v>90</v>
      </c>
      <c r="K30" s="71" t="s">
        <v>108</v>
      </c>
      <c r="L30" s="71" t="s">
        <v>109</v>
      </c>
      <c r="M30" s="71" t="s">
        <v>62</v>
      </c>
      <c r="N30" s="71">
        <v>104</v>
      </c>
      <c r="O30" s="73">
        <v>7658.63</v>
      </c>
      <c r="P30" s="73">
        <f t="shared" si="0"/>
        <v>796497.52</v>
      </c>
      <c r="Q30" s="71">
        <v>30</v>
      </c>
      <c r="R30" s="71">
        <v>33</v>
      </c>
      <c r="S30" s="71">
        <f t="shared" si="2"/>
        <v>3</v>
      </c>
      <c r="T30" s="71" t="str">
        <f t="shared" si="1"/>
        <v>No</v>
      </c>
      <c r="U30" s="71">
        <v>521</v>
      </c>
      <c r="V30" s="71">
        <v>36</v>
      </c>
      <c r="W30" s="71">
        <v>40</v>
      </c>
      <c r="X30" s="71">
        <v>15</v>
      </c>
      <c r="Y30" s="71">
        <v>20</v>
      </c>
      <c r="Z30" s="73">
        <v>4852.49</v>
      </c>
      <c r="AA30" s="73">
        <v>5201</v>
      </c>
      <c r="AB30" s="74">
        <v>0.82</v>
      </c>
    </row>
    <row r="31" spans="1:28" ht="15.75" customHeight="1" x14ac:dyDescent="0.3">
      <c r="A31" s="71" t="s">
        <v>173</v>
      </c>
      <c r="B31" s="72">
        <v>44995</v>
      </c>
      <c r="C31" s="71" t="s">
        <v>64</v>
      </c>
      <c r="D31" s="71" t="s">
        <v>65</v>
      </c>
      <c r="E31" s="71" t="s">
        <v>43</v>
      </c>
      <c r="F31" s="71" t="s">
        <v>113</v>
      </c>
      <c r="G31" s="71" t="s">
        <v>101</v>
      </c>
      <c r="H31" s="71" t="s">
        <v>102</v>
      </c>
      <c r="I31" s="71" t="s">
        <v>69</v>
      </c>
      <c r="J31" s="71" t="s">
        <v>103</v>
      </c>
      <c r="K31" s="71" t="s">
        <v>60</v>
      </c>
      <c r="L31" s="71" t="s">
        <v>61</v>
      </c>
      <c r="M31" s="71" t="s">
        <v>62</v>
      </c>
      <c r="N31" s="71">
        <v>575</v>
      </c>
      <c r="O31" s="73">
        <v>441.69</v>
      </c>
      <c r="P31" s="73">
        <f t="shared" si="0"/>
        <v>253971.75</v>
      </c>
      <c r="Q31" s="71">
        <v>13</v>
      </c>
      <c r="R31" s="71">
        <v>19</v>
      </c>
      <c r="S31" s="71">
        <f t="shared" si="2"/>
        <v>6</v>
      </c>
      <c r="T31" s="71" t="str">
        <f t="shared" si="1"/>
        <v>No</v>
      </c>
      <c r="U31" s="71">
        <v>1896</v>
      </c>
      <c r="V31" s="71">
        <v>805</v>
      </c>
      <c r="W31" s="71">
        <v>650</v>
      </c>
      <c r="X31" s="71">
        <v>3</v>
      </c>
      <c r="Y31" s="71">
        <v>5</v>
      </c>
      <c r="Z31" s="73">
        <v>326.89</v>
      </c>
      <c r="AA31" s="73">
        <v>5313</v>
      </c>
      <c r="AB31" s="74">
        <v>0.85</v>
      </c>
    </row>
    <row r="32" spans="1:28" ht="15.75" customHeight="1" x14ac:dyDescent="0.3">
      <c r="A32" s="71" t="s">
        <v>174</v>
      </c>
      <c r="B32" s="72">
        <v>44995</v>
      </c>
      <c r="C32" s="71" t="s">
        <v>64</v>
      </c>
      <c r="D32" s="71" t="s">
        <v>65</v>
      </c>
      <c r="E32" s="71" t="s">
        <v>43</v>
      </c>
      <c r="F32" s="71" t="s">
        <v>128</v>
      </c>
      <c r="G32" s="71" t="s">
        <v>175</v>
      </c>
      <c r="H32" s="71" t="s">
        <v>176</v>
      </c>
      <c r="I32" s="71" t="s">
        <v>58</v>
      </c>
      <c r="J32" s="71" t="s">
        <v>59</v>
      </c>
      <c r="K32" s="71" t="s">
        <v>60</v>
      </c>
      <c r="L32" s="71" t="s">
        <v>61</v>
      </c>
      <c r="M32" s="71" t="s">
        <v>62</v>
      </c>
      <c r="N32" s="71">
        <v>108</v>
      </c>
      <c r="O32" s="73">
        <v>488.77</v>
      </c>
      <c r="P32" s="73">
        <f t="shared" si="0"/>
        <v>52787.159999999996</v>
      </c>
      <c r="Q32" s="71">
        <v>16</v>
      </c>
      <c r="R32" s="71">
        <v>16</v>
      </c>
      <c r="S32" s="71">
        <f t="shared" si="2"/>
        <v>0</v>
      </c>
      <c r="T32" s="71" t="str">
        <f t="shared" si="1"/>
        <v>Yes</v>
      </c>
      <c r="U32" s="71">
        <v>2298</v>
      </c>
      <c r="V32" s="71">
        <v>40</v>
      </c>
      <c r="W32" s="71">
        <v>58</v>
      </c>
      <c r="X32" s="71">
        <v>3</v>
      </c>
      <c r="Y32" s="71">
        <v>5</v>
      </c>
      <c r="Z32" s="73">
        <v>348.17</v>
      </c>
      <c r="AA32" s="73">
        <v>5988</v>
      </c>
      <c r="AB32" s="74">
        <v>0.73</v>
      </c>
    </row>
    <row r="33" spans="1:28" ht="15.75" customHeight="1" x14ac:dyDescent="0.3">
      <c r="A33" s="71" t="s">
        <v>177</v>
      </c>
      <c r="B33" s="72">
        <v>45000</v>
      </c>
      <c r="C33" s="71" t="s">
        <v>85</v>
      </c>
      <c r="D33" s="71" t="s">
        <v>86</v>
      </c>
      <c r="E33" s="71" t="s">
        <v>87</v>
      </c>
      <c r="F33" s="71" t="s">
        <v>128</v>
      </c>
      <c r="G33" s="71" t="s">
        <v>178</v>
      </c>
      <c r="H33" s="71" t="s">
        <v>179</v>
      </c>
      <c r="I33" s="71" t="s">
        <v>58</v>
      </c>
      <c r="J33" s="71" t="s">
        <v>59</v>
      </c>
      <c r="K33" s="71" t="s">
        <v>91</v>
      </c>
      <c r="L33" s="71" t="s">
        <v>92</v>
      </c>
      <c r="M33" s="71" t="s">
        <v>51</v>
      </c>
      <c r="N33" s="71">
        <v>48</v>
      </c>
      <c r="O33" s="73">
        <v>295</v>
      </c>
      <c r="P33" s="73">
        <f t="shared" si="0"/>
        <v>14160</v>
      </c>
      <c r="Q33" s="71">
        <v>6</v>
      </c>
      <c r="R33" s="71">
        <v>6</v>
      </c>
      <c r="S33" s="71">
        <f t="shared" si="2"/>
        <v>0</v>
      </c>
      <c r="T33" s="71" t="str">
        <f t="shared" si="1"/>
        <v>Yes</v>
      </c>
      <c r="U33" s="71">
        <v>1051</v>
      </c>
      <c r="V33" s="71">
        <v>46</v>
      </c>
      <c r="W33" s="71">
        <v>55</v>
      </c>
      <c r="X33" s="71">
        <v>2</v>
      </c>
      <c r="Y33" s="71">
        <v>4</v>
      </c>
      <c r="Z33" s="73">
        <v>190.43</v>
      </c>
      <c r="AA33" s="73">
        <v>2618</v>
      </c>
      <c r="AB33" s="74">
        <v>0.81</v>
      </c>
    </row>
    <row r="34" spans="1:28" ht="15.75" customHeight="1" x14ac:dyDescent="0.3">
      <c r="A34" s="71" t="s">
        <v>180</v>
      </c>
      <c r="B34" s="72">
        <v>45001</v>
      </c>
      <c r="C34" s="71" t="s">
        <v>181</v>
      </c>
      <c r="D34" s="71" t="s">
        <v>182</v>
      </c>
      <c r="E34" s="71" t="s">
        <v>127</v>
      </c>
      <c r="F34" s="71" t="s">
        <v>128</v>
      </c>
      <c r="G34" s="71" t="s">
        <v>94</v>
      </c>
      <c r="H34" s="71" t="s">
        <v>95</v>
      </c>
      <c r="I34" s="71" t="s">
        <v>58</v>
      </c>
      <c r="J34" s="71" t="s">
        <v>96</v>
      </c>
      <c r="K34" s="71" t="s">
        <v>71</v>
      </c>
      <c r="L34" s="71" t="s">
        <v>72</v>
      </c>
      <c r="M34" s="71" t="s">
        <v>73</v>
      </c>
      <c r="N34" s="71">
        <v>212</v>
      </c>
      <c r="O34" s="73">
        <v>2000.59</v>
      </c>
      <c r="P34" s="73">
        <f t="shared" si="0"/>
        <v>424125.07999999996</v>
      </c>
      <c r="Q34" s="71">
        <v>20</v>
      </c>
      <c r="R34" s="71">
        <v>23</v>
      </c>
      <c r="S34" s="71">
        <f t="shared" si="2"/>
        <v>3</v>
      </c>
      <c r="T34" s="71" t="str">
        <f t="shared" si="1"/>
        <v>No</v>
      </c>
      <c r="U34" s="71">
        <v>1482</v>
      </c>
      <c r="V34" s="71">
        <v>96</v>
      </c>
      <c r="W34" s="71">
        <v>120</v>
      </c>
      <c r="X34" s="71">
        <v>7</v>
      </c>
      <c r="Y34" s="71">
        <v>10</v>
      </c>
      <c r="Z34" s="73">
        <v>1240.3800000000001</v>
      </c>
      <c r="AA34" s="73">
        <v>5575</v>
      </c>
      <c r="AB34" s="74">
        <v>0.72</v>
      </c>
    </row>
    <row r="35" spans="1:28" ht="15.75" customHeight="1" x14ac:dyDescent="0.3">
      <c r="A35" s="71" t="s">
        <v>183</v>
      </c>
      <c r="B35" s="72">
        <v>45002</v>
      </c>
      <c r="C35" s="71" t="s">
        <v>120</v>
      </c>
      <c r="D35" s="71" t="s">
        <v>121</v>
      </c>
      <c r="E35" s="71" t="s">
        <v>43</v>
      </c>
      <c r="F35" s="71" t="s">
        <v>44</v>
      </c>
      <c r="G35" s="71" t="s">
        <v>178</v>
      </c>
      <c r="H35" s="71" t="s">
        <v>179</v>
      </c>
      <c r="I35" s="71" t="s">
        <v>58</v>
      </c>
      <c r="J35" s="71" t="s">
        <v>59</v>
      </c>
      <c r="K35" s="71" t="s">
        <v>49</v>
      </c>
      <c r="L35" s="71" t="s">
        <v>50</v>
      </c>
      <c r="M35" s="71" t="s">
        <v>51</v>
      </c>
      <c r="N35" s="71">
        <v>296</v>
      </c>
      <c r="O35" s="73">
        <v>2655.19</v>
      </c>
      <c r="P35" s="73">
        <f t="shared" si="0"/>
        <v>785936.24</v>
      </c>
      <c r="Q35" s="71">
        <v>24</v>
      </c>
      <c r="R35" s="71">
        <v>32</v>
      </c>
      <c r="S35" s="71">
        <f t="shared" si="2"/>
        <v>8</v>
      </c>
      <c r="T35" s="71" t="str">
        <f t="shared" si="1"/>
        <v>No</v>
      </c>
      <c r="U35" s="71">
        <v>2522</v>
      </c>
      <c r="V35" s="71">
        <v>131</v>
      </c>
      <c r="W35" s="71">
        <v>194</v>
      </c>
      <c r="X35" s="71">
        <v>6</v>
      </c>
      <c r="Y35" s="71">
        <v>9</v>
      </c>
      <c r="Z35" s="73">
        <v>1802.29</v>
      </c>
      <c r="AA35" s="73">
        <v>7011</v>
      </c>
      <c r="AB35" s="74">
        <v>0.98</v>
      </c>
    </row>
    <row r="36" spans="1:28" ht="15.75" customHeight="1" x14ac:dyDescent="0.3">
      <c r="A36" s="71" t="s">
        <v>184</v>
      </c>
      <c r="B36" s="72">
        <v>45003</v>
      </c>
      <c r="C36" s="71" t="s">
        <v>133</v>
      </c>
      <c r="D36" s="71" t="s">
        <v>134</v>
      </c>
      <c r="E36" s="71" t="s">
        <v>100</v>
      </c>
      <c r="F36" s="71" t="s">
        <v>128</v>
      </c>
      <c r="G36" s="71" t="s">
        <v>114</v>
      </c>
      <c r="H36" s="71" t="s">
        <v>115</v>
      </c>
      <c r="I36" s="71" t="s">
        <v>58</v>
      </c>
      <c r="J36" s="71" t="s">
        <v>90</v>
      </c>
      <c r="K36" s="71" t="s">
        <v>104</v>
      </c>
      <c r="L36" s="71" t="s">
        <v>105</v>
      </c>
      <c r="M36" s="71" t="s">
        <v>106</v>
      </c>
      <c r="N36" s="71">
        <v>715</v>
      </c>
      <c r="O36" s="73">
        <v>2201.75</v>
      </c>
      <c r="P36" s="73">
        <f t="shared" si="0"/>
        <v>1574251.25</v>
      </c>
      <c r="Q36" s="71">
        <v>14</v>
      </c>
      <c r="R36" s="71">
        <v>12</v>
      </c>
      <c r="S36" s="71">
        <f t="shared" si="2"/>
        <v>0</v>
      </c>
      <c r="T36" s="71" t="str">
        <f t="shared" si="1"/>
        <v>Yes</v>
      </c>
      <c r="U36" s="71">
        <v>968</v>
      </c>
      <c r="V36" s="71">
        <v>461</v>
      </c>
      <c r="W36" s="71">
        <v>460</v>
      </c>
      <c r="X36" s="71">
        <v>8</v>
      </c>
      <c r="Y36" s="71">
        <v>12</v>
      </c>
      <c r="Z36" s="73">
        <v>1699.58</v>
      </c>
      <c r="AA36" s="73">
        <v>1083</v>
      </c>
      <c r="AB36" s="74">
        <v>0.89</v>
      </c>
    </row>
    <row r="37" spans="1:28" ht="15.75" customHeight="1" x14ac:dyDescent="0.3">
      <c r="A37" s="71" t="s">
        <v>185</v>
      </c>
      <c r="B37" s="72">
        <v>45005</v>
      </c>
      <c r="C37" s="71" t="s">
        <v>181</v>
      </c>
      <c r="D37" s="71" t="s">
        <v>182</v>
      </c>
      <c r="E37" s="71" t="s">
        <v>127</v>
      </c>
      <c r="F37" s="71" t="s">
        <v>66</v>
      </c>
      <c r="G37" s="71" t="s">
        <v>166</v>
      </c>
      <c r="H37" s="71" t="s">
        <v>167</v>
      </c>
      <c r="I37" s="71" t="s">
        <v>69</v>
      </c>
      <c r="J37" s="71" t="s">
        <v>103</v>
      </c>
      <c r="K37" s="71" t="s">
        <v>71</v>
      </c>
      <c r="L37" s="71" t="s">
        <v>72</v>
      </c>
      <c r="M37" s="71" t="s">
        <v>73</v>
      </c>
      <c r="N37" s="71">
        <v>590</v>
      </c>
      <c r="O37" s="73">
        <v>2051.0300000000002</v>
      </c>
      <c r="P37" s="73">
        <f t="shared" si="0"/>
        <v>1210107.7000000002</v>
      </c>
      <c r="Q37" s="71">
        <v>17</v>
      </c>
      <c r="R37" s="71">
        <v>25</v>
      </c>
      <c r="S37" s="71">
        <f t="shared" si="2"/>
        <v>8</v>
      </c>
      <c r="T37" s="71" t="str">
        <f t="shared" si="1"/>
        <v>No</v>
      </c>
      <c r="U37" s="71">
        <v>2234</v>
      </c>
      <c r="V37" s="71">
        <v>411</v>
      </c>
      <c r="W37" s="71">
        <v>546</v>
      </c>
      <c r="X37" s="71">
        <v>7</v>
      </c>
      <c r="Y37" s="71">
        <v>10</v>
      </c>
      <c r="Z37" s="73">
        <v>1288.02</v>
      </c>
      <c r="AA37" s="73">
        <v>6146</v>
      </c>
      <c r="AB37" s="74">
        <v>0.9</v>
      </c>
    </row>
    <row r="38" spans="1:28" ht="15.75" customHeight="1" x14ac:dyDescent="0.3">
      <c r="A38" s="71" t="s">
        <v>186</v>
      </c>
      <c r="B38" s="72">
        <v>45005</v>
      </c>
      <c r="C38" s="71" t="s">
        <v>187</v>
      </c>
      <c r="D38" s="71" t="s">
        <v>188</v>
      </c>
      <c r="E38" s="71" t="s">
        <v>100</v>
      </c>
      <c r="F38" s="71" t="s">
        <v>128</v>
      </c>
      <c r="G38" s="71" t="s">
        <v>158</v>
      </c>
      <c r="H38" s="71" t="s">
        <v>159</v>
      </c>
      <c r="I38" s="71" t="s">
        <v>69</v>
      </c>
      <c r="J38" s="71" t="s">
        <v>70</v>
      </c>
      <c r="K38" s="71" t="s">
        <v>189</v>
      </c>
      <c r="L38" s="71" t="s">
        <v>190</v>
      </c>
      <c r="M38" s="71" t="s">
        <v>73</v>
      </c>
      <c r="N38" s="71">
        <v>208</v>
      </c>
      <c r="O38" s="73">
        <v>4731.22</v>
      </c>
      <c r="P38" s="73">
        <f t="shared" si="0"/>
        <v>984093.76</v>
      </c>
      <c r="Q38" s="71">
        <v>16</v>
      </c>
      <c r="R38" s="71">
        <v>19</v>
      </c>
      <c r="S38" s="71">
        <f t="shared" si="2"/>
        <v>3</v>
      </c>
      <c r="T38" s="71" t="str">
        <f t="shared" si="1"/>
        <v>No</v>
      </c>
      <c r="U38" s="71">
        <v>2999</v>
      </c>
      <c r="V38" s="71">
        <v>301</v>
      </c>
      <c r="W38" s="71">
        <v>376</v>
      </c>
      <c r="X38" s="71">
        <v>12</v>
      </c>
      <c r="Y38" s="71">
        <v>18</v>
      </c>
      <c r="Z38" s="73">
        <v>2978.48</v>
      </c>
      <c r="AA38" s="73">
        <v>1342</v>
      </c>
      <c r="AB38" s="74">
        <v>0.74</v>
      </c>
    </row>
    <row r="39" spans="1:28" ht="15.75" customHeight="1" x14ac:dyDescent="0.3">
      <c r="A39" s="71" t="s">
        <v>191</v>
      </c>
      <c r="B39" s="72">
        <v>45007</v>
      </c>
      <c r="C39" s="71" t="s">
        <v>155</v>
      </c>
      <c r="D39" s="71" t="s">
        <v>156</v>
      </c>
      <c r="E39" s="71" t="s">
        <v>87</v>
      </c>
      <c r="F39" s="71" t="s">
        <v>113</v>
      </c>
      <c r="G39" s="71" t="s">
        <v>192</v>
      </c>
      <c r="H39" s="71" t="s">
        <v>193</v>
      </c>
      <c r="I39" s="71" t="s">
        <v>137</v>
      </c>
      <c r="J39" s="71" t="s">
        <v>138</v>
      </c>
      <c r="K39" s="71" t="s">
        <v>81</v>
      </c>
      <c r="L39" s="71" t="s">
        <v>82</v>
      </c>
      <c r="M39" s="71" t="s">
        <v>83</v>
      </c>
      <c r="N39" s="71">
        <v>519</v>
      </c>
      <c r="O39" s="73">
        <v>203.08</v>
      </c>
      <c r="P39" s="73">
        <f t="shared" si="0"/>
        <v>105398.52</v>
      </c>
      <c r="Q39" s="71">
        <v>9</v>
      </c>
      <c r="R39" s="71">
        <v>10</v>
      </c>
      <c r="S39" s="71">
        <f t="shared" si="2"/>
        <v>1</v>
      </c>
      <c r="T39" s="71" t="str">
        <f t="shared" si="1"/>
        <v>No</v>
      </c>
      <c r="U39" s="71">
        <v>1908</v>
      </c>
      <c r="V39" s="71">
        <v>552</v>
      </c>
      <c r="W39" s="71">
        <v>619</v>
      </c>
      <c r="X39" s="71">
        <v>2.5</v>
      </c>
      <c r="Y39" s="71">
        <v>4</v>
      </c>
      <c r="Z39" s="73">
        <v>148.93</v>
      </c>
      <c r="AA39" s="73">
        <v>7863</v>
      </c>
      <c r="AB39" s="74">
        <v>0.93</v>
      </c>
    </row>
    <row r="40" spans="1:28" ht="15.75" customHeight="1" x14ac:dyDescent="0.3">
      <c r="A40" s="71" t="s">
        <v>194</v>
      </c>
      <c r="B40" s="72">
        <v>45008</v>
      </c>
      <c r="C40" s="71" t="s">
        <v>161</v>
      </c>
      <c r="D40" s="71" t="s">
        <v>162</v>
      </c>
      <c r="E40" s="71" t="s">
        <v>77</v>
      </c>
      <c r="F40" s="71" t="s">
        <v>128</v>
      </c>
      <c r="G40" s="71" t="s">
        <v>45</v>
      </c>
      <c r="H40" s="71" t="s">
        <v>46</v>
      </c>
      <c r="I40" s="71" t="s">
        <v>47</v>
      </c>
      <c r="J40" s="71" t="s">
        <v>48</v>
      </c>
      <c r="K40" s="71" t="s">
        <v>60</v>
      </c>
      <c r="L40" s="71" t="s">
        <v>61</v>
      </c>
      <c r="M40" s="71" t="s">
        <v>62</v>
      </c>
      <c r="N40" s="71">
        <v>474</v>
      </c>
      <c r="O40" s="73">
        <v>47.65</v>
      </c>
      <c r="P40" s="73">
        <f t="shared" si="0"/>
        <v>22586.1</v>
      </c>
      <c r="Q40" s="71">
        <v>16</v>
      </c>
      <c r="R40" s="71">
        <v>16</v>
      </c>
      <c r="S40" s="71">
        <f t="shared" si="2"/>
        <v>0</v>
      </c>
      <c r="T40" s="71" t="str">
        <f t="shared" si="1"/>
        <v>Yes</v>
      </c>
      <c r="U40" s="71">
        <v>1536</v>
      </c>
      <c r="V40" s="71">
        <v>344</v>
      </c>
      <c r="W40" s="71">
        <v>436</v>
      </c>
      <c r="X40" s="71">
        <v>1.5</v>
      </c>
      <c r="Y40" s="71">
        <v>2</v>
      </c>
      <c r="Z40" s="73">
        <v>35.28</v>
      </c>
      <c r="AA40" s="73">
        <v>6099</v>
      </c>
      <c r="AB40" s="74">
        <v>0.88</v>
      </c>
    </row>
    <row r="41" spans="1:28" ht="15.75" customHeight="1" x14ac:dyDescent="0.3">
      <c r="A41" s="71" t="s">
        <v>195</v>
      </c>
      <c r="B41" s="72">
        <v>45010</v>
      </c>
      <c r="C41" s="71" t="s">
        <v>41</v>
      </c>
      <c r="D41" s="71" t="s">
        <v>42</v>
      </c>
      <c r="E41" s="71" t="s">
        <v>43</v>
      </c>
      <c r="F41" s="71" t="s">
        <v>66</v>
      </c>
      <c r="G41" s="71" t="s">
        <v>78</v>
      </c>
      <c r="H41" s="71" t="s">
        <v>79</v>
      </c>
      <c r="I41" s="71" t="s">
        <v>69</v>
      </c>
      <c r="J41" s="71" t="s">
        <v>80</v>
      </c>
      <c r="K41" s="71" t="s">
        <v>104</v>
      </c>
      <c r="L41" s="71" t="s">
        <v>105</v>
      </c>
      <c r="M41" s="71" t="s">
        <v>106</v>
      </c>
      <c r="N41" s="71">
        <v>327</v>
      </c>
      <c r="O41" s="73">
        <v>14274.05</v>
      </c>
      <c r="P41" s="73">
        <f t="shared" si="0"/>
        <v>4667614.3499999996</v>
      </c>
      <c r="Q41" s="71">
        <v>27</v>
      </c>
      <c r="R41" s="71">
        <v>35</v>
      </c>
      <c r="S41" s="71">
        <f t="shared" si="2"/>
        <v>8</v>
      </c>
      <c r="T41" s="71" t="str">
        <f t="shared" si="1"/>
        <v>No</v>
      </c>
      <c r="U41" s="71">
        <v>1625</v>
      </c>
      <c r="V41" s="71">
        <v>148</v>
      </c>
      <c r="W41" s="71">
        <v>191</v>
      </c>
      <c r="X41" s="71">
        <v>25</v>
      </c>
      <c r="Y41" s="71">
        <v>35</v>
      </c>
      <c r="Z41" s="73">
        <v>8806.2900000000009</v>
      </c>
      <c r="AA41" s="73">
        <v>5078</v>
      </c>
      <c r="AB41" s="74">
        <v>0.81</v>
      </c>
    </row>
    <row r="42" spans="1:28" ht="15.75" customHeight="1" x14ac:dyDescent="0.3">
      <c r="A42" s="71" t="s">
        <v>196</v>
      </c>
      <c r="B42" s="72">
        <v>45014</v>
      </c>
      <c r="C42" s="71" t="s">
        <v>111</v>
      </c>
      <c r="D42" s="71" t="s">
        <v>112</v>
      </c>
      <c r="E42" s="71" t="s">
        <v>87</v>
      </c>
      <c r="F42" s="71" t="s">
        <v>66</v>
      </c>
      <c r="G42" s="71" t="s">
        <v>197</v>
      </c>
      <c r="H42" s="71" t="s">
        <v>198</v>
      </c>
      <c r="I42" s="71" t="s">
        <v>58</v>
      </c>
      <c r="J42" s="71" t="s">
        <v>59</v>
      </c>
      <c r="K42" s="71" t="s">
        <v>91</v>
      </c>
      <c r="L42" s="71" t="s">
        <v>92</v>
      </c>
      <c r="M42" s="71" t="s">
        <v>51</v>
      </c>
      <c r="N42" s="71">
        <v>361</v>
      </c>
      <c r="O42" s="73">
        <v>861.76</v>
      </c>
      <c r="P42" s="73">
        <f t="shared" si="0"/>
        <v>311095.36</v>
      </c>
      <c r="Q42" s="71">
        <v>11</v>
      </c>
      <c r="R42" s="71">
        <v>17</v>
      </c>
      <c r="S42" s="71">
        <f t="shared" si="2"/>
        <v>6</v>
      </c>
      <c r="T42" s="71" t="str">
        <f t="shared" si="1"/>
        <v>No</v>
      </c>
      <c r="U42" s="71">
        <v>1998</v>
      </c>
      <c r="V42" s="71">
        <v>259</v>
      </c>
      <c r="W42" s="71">
        <v>224</v>
      </c>
      <c r="X42" s="71">
        <v>4</v>
      </c>
      <c r="Y42" s="71">
        <v>6</v>
      </c>
      <c r="Z42" s="73">
        <v>641.49</v>
      </c>
      <c r="AA42" s="73">
        <v>4206</v>
      </c>
      <c r="AB42" s="74">
        <v>0.79</v>
      </c>
    </row>
    <row r="43" spans="1:28" ht="15.75" customHeight="1" x14ac:dyDescent="0.3">
      <c r="A43" s="71" t="s">
        <v>199</v>
      </c>
      <c r="B43" s="72">
        <v>45016</v>
      </c>
      <c r="C43" s="71" t="s">
        <v>117</v>
      </c>
      <c r="D43" s="71" t="s">
        <v>118</v>
      </c>
      <c r="E43" s="71" t="s">
        <v>87</v>
      </c>
      <c r="F43" s="71" t="s">
        <v>128</v>
      </c>
      <c r="G43" s="71" t="s">
        <v>56</v>
      </c>
      <c r="H43" s="71" t="s">
        <v>57</v>
      </c>
      <c r="I43" s="71" t="s">
        <v>58</v>
      </c>
      <c r="J43" s="71" t="s">
        <v>59</v>
      </c>
      <c r="K43" s="71" t="s">
        <v>81</v>
      </c>
      <c r="L43" s="71" t="s">
        <v>82</v>
      </c>
      <c r="M43" s="71" t="s">
        <v>83</v>
      </c>
      <c r="N43" s="71">
        <v>224</v>
      </c>
      <c r="O43" s="73">
        <v>2425.89</v>
      </c>
      <c r="P43" s="73">
        <f t="shared" si="0"/>
        <v>543399.36</v>
      </c>
      <c r="Q43" s="71">
        <v>23</v>
      </c>
      <c r="R43" s="71">
        <v>26</v>
      </c>
      <c r="S43" s="71">
        <f t="shared" si="2"/>
        <v>3</v>
      </c>
      <c r="T43" s="71" t="str">
        <f t="shared" si="1"/>
        <v>No</v>
      </c>
      <c r="U43" s="71">
        <v>2931</v>
      </c>
      <c r="V43" s="71">
        <v>231</v>
      </c>
      <c r="W43" s="71">
        <v>254</v>
      </c>
      <c r="X43" s="71">
        <v>7</v>
      </c>
      <c r="Y43" s="71">
        <v>10</v>
      </c>
      <c r="Z43" s="73">
        <v>1754.47</v>
      </c>
      <c r="AA43" s="73">
        <v>6929</v>
      </c>
      <c r="AB43" s="74">
        <v>0.76</v>
      </c>
    </row>
    <row r="44" spans="1:28" ht="15.75" customHeight="1" x14ac:dyDescent="0.3">
      <c r="A44" s="71" t="s">
        <v>200</v>
      </c>
      <c r="B44" s="72">
        <v>45019</v>
      </c>
      <c r="C44" s="71" t="s">
        <v>181</v>
      </c>
      <c r="D44" s="71" t="s">
        <v>182</v>
      </c>
      <c r="E44" s="71" t="s">
        <v>127</v>
      </c>
      <c r="F44" s="71" t="s">
        <v>128</v>
      </c>
      <c r="G44" s="71" t="s">
        <v>45</v>
      </c>
      <c r="H44" s="71" t="s">
        <v>46</v>
      </c>
      <c r="I44" s="71" t="s">
        <v>47</v>
      </c>
      <c r="J44" s="71" t="s">
        <v>48</v>
      </c>
      <c r="K44" s="71" t="s">
        <v>71</v>
      </c>
      <c r="L44" s="71" t="s">
        <v>72</v>
      </c>
      <c r="M44" s="71" t="s">
        <v>73</v>
      </c>
      <c r="N44" s="71">
        <v>176</v>
      </c>
      <c r="O44" s="73">
        <v>2059.89</v>
      </c>
      <c r="P44" s="73">
        <f t="shared" si="0"/>
        <v>362540.63999999996</v>
      </c>
      <c r="Q44" s="71">
        <v>29</v>
      </c>
      <c r="R44" s="71">
        <v>32</v>
      </c>
      <c r="S44" s="71">
        <f t="shared" si="2"/>
        <v>3</v>
      </c>
      <c r="T44" s="71" t="str">
        <f t="shared" si="1"/>
        <v>No</v>
      </c>
      <c r="U44" s="71">
        <v>2671</v>
      </c>
      <c r="V44" s="71">
        <v>100</v>
      </c>
      <c r="W44" s="71">
        <v>94</v>
      </c>
      <c r="X44" s="71">
        <v>7</v>
      </c>
      <c r="Y44" s="71">
        <v>10</v>
      </c>
      <c r="Z44" s="73">
        <v>1504.38</v>
      </c>
      <c r="AA44" s="73">
        <v>4704</v>
      </c>
      <c r="AB44" s="74">
        <v>0.71</v>
      </c>
    </row>
    <row r="45" spans="1:28" ht="15.75" customHeight="1" x14ac:dyDescent="0.3">
      <c r="A45" s="71" t="s">
        <v>201</v>
      </c>
      <c r="B45" s="72">
        <v>45020</v>
      </c>
      <c r="C45" s="71" t="s">
        <v>187</v>
      </c>
      <c r="D45" s="71" t="s">
        <v>188</v>
      </c>
      <c r="E45" s="71" t="s">
        <v>100</v>
      </c>
      <c r="F45" s="71" t="s">
        <v>66</v>
      </c>
      <c r="G45" s="71" t="s">
        <v>45</v>
      </c>
      <c r="H45" s="71" t="s">
        <v>46</v>
      </c>
      <c r="I45" s="71" t="s">
        <v>47</v>
      </c>
      <c r="J45" s="71" t="s">
        <v>48</v>
      </c>
      <c r="K45" s="71" t="s">
        <v>104</v>
      </c>
      <c r="L45" s="71" t="s">
        <v>105</v>
      </c>
      <c r="M45" s="71" t="s">
        <v>106</v>
      </c>
      <c r="N45" s="71">
        <v>474</v>
      </c>
      <c r="O45" s="73">
        <v>4137.9399999999996</v>
      </c>
      <c r="P45" s="73">
        <f t="shared" si="0"/>
        <v>1961383.5599999998</v>
      </c>
      <c r="Q45" s="71">
        <v>16</v>
      </c>
      <c r="R45" s="71">
        <v>22</v>
      </c>
      <c r="S45" s="71">
        <f t="shared" si="2"/>
        <v>6</v>
      </c>
      <c r="T45" s="71" t="str">
        <f t="shared" si="1"/>
        <v>No</v>
      </c>
      <c r="U45" s="71">
        <v>2344</v>
      </c>
      <c r="V45" s="71">
        <v>481</v>
      </c>
      <c r="W45" s="71">
        <v>682</v>
      </c>
      <c r="X45" s="71">
        <v>12</v>
      </c>
      <c r="Y45" s="71">
        <v>18</v>
      </c>
      <c r="Z45" s="73">
        <v>2611.52</v>
      </c>
      <c r="AA45" s="73">
        <v>6680</v>
      </c>
      <c r="AB45" s="74">
        <v>0.87</v>
      </c>
    </row>
    <row r="46" spans="1:28" ht="15.75" customHeight="1" x14ac:dyDescent="0.3">
      <c r="A46" s="79" t="s">
        <v>202</v>
      </c>
      <c r="B46" s="80">
        <v>45020</v>
      </c>
      <c r="C46" s="79" t="s">
        <v>169</v>
      </c>
      <c r="D46" s="79" t="s">
        <v>170</v>
      </c>
      <c r="E46" s="79" t="s">
        <v>100</v>
      </c>
      <c r="F46" s="79" t="s">
        <v>44</v>
      </c>
      <c r="G46" s="79" t="s">
        <v>203</v>
      </c>
      <c r="H46" s="79" t="s">
        <v>204</v>
      </c>
      <c r="I46" s="79" t="s">
        <v>58</v>
      </c>
      <c r="J46" s="79" t="s">
        <v>90</v>
      </c>
      <c r="K46" s="79" t="s">
        <v>108</v>
      </c>
      <c r="L46" s="79" t="s">
        <v>109</v>
      </c>
      <c r="M46" s="79" t="s">
        <v>62</v>
      </c>
      <c r="N46" s="79">
        <v>815</v>
      </c>
      <c r="O46" s="81">
        <v>6686.97</v>
      </c>
      <c r="P46" s="81">
        <f t="shared" si="0"/>
        <v>5449880.5499999998</v>
      </c>
      <c r="Q46" s="79">
        <v>9</v>
      </c>
      <c r="R46" s="79">
        <v>15</v>
      </c>
      <c r="S46" s="79">
        <f t="shared" si="2"/>
        <v>6</v>
      </c>
      <c r="T46" s="79" t="str">
        <f t="shared" si="1"/>
        <v>No</v>
      </c>
      <c r="U46" s="79">
        <v>301</v>
      </c>
      <c r="V46" s="79">
        <v>1056</v>
      </c>
      <c r="W46" s="79">
        <v>1254</v>
      </c>
      <c r="X46" s="79">
        <v>15</v>
      </c>
      <c r="Y46" s="79">
        <v>20</v>
      </c>
      <c r="Z46" s="81">
        <v>4796.3999999999996</v>
      </c>
      <c r="AA46" s="81">
        <v>7160</v>
      </c>
      <c r="AB46" s="82">
        <v>0.94</v>
      </c>
    </row>
    <row r="47" spans="1:28" ht="15.75" customHeight="1" x14ac:dyDescent="0.3">
      <c r="A47" s="71" t="s">
        <v>205</v>
      </c>
      <c r="B47" s="72">
        <v>45033</v>
      </c>
      <c r="C47" s="71" t="s">
        <v>206</v>
      </c>
      <c r="D47" s="71" t="s">
        <v>207</v>
      </c>
      <c r="E47" s="71" t="s">
        <v>127</v>
      </c>
      <c r="F47" s="71" t="s">
        <v>66</v>
      </c>
      <c r="G47" s="71" t="s">
        <v>88</v>
      </c>
      <c r="H47" s="71" t="s">
        <v>89</v>
      </c>
      <c r="I47" s="71" t="s">
        <v>58</v>
      </c>
      <c r="J47" s="71" t="s">
        <v>90</v>
      </c>
      <c r="K47" s="71" t="s">
        <v>49</v>
      </c>
      <c r="L47" s="71" t="s">
        <v>50</v>
      </c>
      <c r="M47" s="71" t="s">
        <v>51</v>
      </c>
      <c r="N47" s="71">
        <v>89</v>
      </c>
      <c r="O47" s="73">
        <v>911.52</v>
      </c>
      <c r="P47" s="73">
        <f t="shared" si="0"/>
        <v>81125.279999999999</v>
      </c>
      <c r="Q47" s="71">
        <v>15</v>
      </c>
      <c r="R47" s="71">
        <v>25</v>
      </c>
      <c r="S47" s="71">
        <f t="shared" si="2"/>
        <v>10</v>
      </c>
      <c r="T47" s="71" t="str">
        <f t="shared" si="1"/>
        <v>No</v>
      </c>
      <c r="U47" s="71">
        <v>383</v>
      </c>
      <c r="V47" s="71">
        <v>114</v>
      </c>
      <c r="W47" s="71">
        <v>144</v>
      </c>
      <c r="X47" s="71">
        <v>4</v>
      </c>
      <c r="Y47" s="71">
        <v>6</v>
      </c>
      <c r="Z47" s="73">
        <v>679.87</v>
      </c>
      <c r="AA47" s="73">
        <v>3250</v>
      </c>
      <c r="AB47" s="74">
        <v>0.83</v>
      </c>
    </row>
    <row r="48" spans="1:28" ht="15.75" customHeight="1" x14ac:dyDescent="0.3">
      <c r="A48" s="79" t="s">
        <v>208</v>
      </c>
      <c r="B48" s="80">
        <v>45035</v>
      </c>
      <c r="C48" s="79" t="s">
        <v>181</v>
      </c>
      <c r="D48" s="79" t="s">
        <v>182</v>
      </c>
      <c r="E48" s="79" t="s">
        <v>127</v>
      </c>
      <c r="F48" s="79" t="s">
        <v>44</v>
      </c>
      <c r="G48" s="79" t="s">
        <v>192</v>
      </c>
      <c r="H48" s="79" t="s">
        <v>193</v>
      </c>
      <c r="I48" s="79" t="s">
        <v>137</v>
      </c>
      <c r="J48" s="79" t="s">
        <v>138</v>
      </c>
      <c r="K48" s="79" t="s">
        <v>71</v>
      </c>
      <c r="L48" s="79" t="s">
        <v>72</v>
      </c>
      <c r="M48" s="79" t="s">
        <v>73</v>
      </c>
      <c r="N48" s="79">
        <v>166</v>
      </c>
      <c r="O48" s="81">
        <v>1837.94</v>
      </c>
      <c r="P48" s="81">
        <f t="shared" si="0"/>
        <v>305098.04000000004</v>
      </c>
      <c r="Q48" s="79">
        <v>10</v>
      </c>
      <c r="R48" s="79">
        <v>21</v>
      </c>
      <c r="S48" s="79">
        <f t="shared" si="2"/>
        <v>11</v>
      </c>
      <c r="T48" s="79" t="str">
        <f t="shared" si="1"/>
        <v>No</v>
      </c>
      <c r="U48" s="79">
        <v>22</v>
      </c>
      <c r="V48" s="79">
        <v>169</v>
      </c>
      <c r="W48" s="79">
        <v>193</v>
      </c>
      <c r="X48" s="79">
        <v>7</v>
      </c>
      <c r="Y48" s="79">
        <v>10</v>
      </c>
      <c r="Z48" s="81">
        <v>1143.8800000000001</v>
      </c>
      <c r="AA48" s="81">
        <v>3473</v>
      </c>
      <c r="AB48" s="82">
        <v>0.95</v>
      </c>
    </row>
    <row r="49" spans="1:28" ht="15.75" customHeight="1" x14ac:dyDescent="0.3">
      <c r="A49" s="71" t="s">
        <v>209</v>
      </c>
      <c r="B49" s="72">
        <v>45036</v>
      </c>
      <c r="C49" s="71" t="s">
        <v>85</v>
      </c>
      <c r="D49" s="71" t="s">
        <v>86</v>
      </c>
      <c r="E49" s="71" t="s">
        <v>87</v>
      </c>
      <c r="F49" s="71" t="s">
        <v>55</v>
      </c>
      <c r="G49" s="71" t="s">
        <v>203</v>
      </c>
      <c r="H49" s="71" t="s">
        <v>204</v>
      </c>
      <c r="I49" s="71" t="s">
        <v>58</v>
      </c>
      <c r="J49" s="71" t="s">
        <v>90</v>
      </c>
      <c r="K49" s="71" t="s">
        <v>91</v>
      </c>
      <c r="L49" s="71" t="s">
        <v>92</v>
      </c>
      <c r="M49" s="71" t="s">
        <v>51</v>
      </c>
      <c r="N49" s="71">
        <v>350</v>
      </c>
      <c r="O49" s="73">
        <v>355.33</v>
      </c>
      <c r="P49" s="73">
        <f t="shared" si="0"/>
        <v>124365.5</v>
      </c>
      <c r="Q49" s="71">
        <v>17</v>
      </c>
      <c r="R49" s="71">
        <v>25</v>
      </c>
      <c r="S49" s="71">
        <f t="shared" si="2"/>
        <v>8</v>
      </c>
      <c r="T49" s="71" t="str">
        <f t="shared" si="1"/>
        <v>No</v>
      </c>
      <c r="U49" s="71">
        <v>1391</v>
      </c>
      <c r="V49" s="71">
        <v>285</v>
      </c>
      <c r="W49" s="71">
        <v>392</v>
      </c>
      <c r="X49" s="71">
        <v>2</v>
      </c>
      <c r="Y49" s="71">
        <v>4</v>
      </c>
      <c r="Z49" s="73">
        <v>259.45999999999998</v>
      </c>
      <c r="AA49" s="73">
        <v>5369</v>
      </c>
      <c r="AB49" s="74">
        <v>0.74</v>
      </c>
    </row>
    <row r="50" spans="1:28" ht="15.75" customHeight="1" x14ac:dyDescent="0.3">
      <c r="A50" s="71" t="s">
        <v>210</v>
      </c>
      <c r="B50" s="72">
        <v>45036</v>
      </c>
      <c r="C50" s="71" t="s">
        <v>161</v>
      </c>
      <c r="D50" s="71" t="s">
        <v>162</v>
      </c>
      <c r="E50" s="71" t="s">
        <v>77</v>
      </c>
      <c r="F50" s="71" t="s">
        <v>113</v>
      </c>
      <c r="G50" s="71" t="s">
        <v>166</v>
      </c>
      <c r="H50" s="71" t="s">
        <v>167</v>
      </c>
      <c r="I50" s="71" t="s">
        <v>69</v>
      </c>
      <c r="J50" s="71" t="s">
        <v>103</v>
      </c>
      <c r="K50" s="71" t="s">
        <v>60</v>
      </c>
      <c r="L50" s="71" t="s">
        <v>61</v>
      </c>
      <c r="M50" s="71" t="s">
        <v>62</v>
      </c>
      <c r="N50" s="71">
        <v>598</v>
      </c>
      <c r="O50" s="73">
        <v>43.83</v>
      </c>
      <c r="P50" s="73">
        <f t="shared" si="0"/>
        <v>26210.34</v>
      </c>
      <c r="Q50" s="71">
        <v>27</v>
      </c>
      <c r="R50" s="71">
        <v>28</v>
      </c>
      <c r="S50" s="71">
        <f t="shared" si="2"/>
        <v>1</v>
      </c>
      <c r="T50" s="71" t="str">
        <f t="shared" si="1"/>
        <v>No</v>
      </c>
      <c r="U50" s="71">
        <v>2716</v>
      </c>
      <c r="V50" s="71">
        <v>463</v>
      </c>
      <c r="W50" s="71">
        <v>373</v>
      </c>
      <c r="X50" s="71">
        <v>1.5</v>
      </c>
      <c r="Y50" s="71">
        <v>2</v>
      </c>
      <c r="Z50" s="73">
        <v>33.880000000000003</v>
      </c>
      <c r="AA50" s="73">
        <v>6875</v>
      </c>
      <c r="AB50" s="74">
        <v>0.91</v>
      </c>
    </row>
    <row r="51" spans="1:28" ht="15.75" customHeight="1" x14ac:dyDescent="0.3">
      <c r="A51" s="71" t="s">
        <v>211</v>
      </c>
      <c r="B51" s="72">
        <v>45038</v>
      </c>
      <c r="C51" s="71" t="s">
        <v>117</v>
      </c>
      <c r="D51" s="71" t="s">
        <v>118</v>
      </c>
      <c r="E51" s="71" t="s">
        <v>87</v>
      </c>
      <c r="F51" s="71" t="s">
        <v>44</v>
      </c>
      <c r="G51" s="71" t="s">
        <v>212</v>
      </c>
      <c r="H51" s="71" t="s">
        <v>213</v>
      </c>
      <c r="I51" s="71" t="s">
        <v>214</v>
      </c>
      <c r="J51" s="71" t="s">
        <v>138</v>
      </c>
      <c r="K51" s="71" t="s">
        <v>81</v>
      </c>
      <c r="L51" s="71" t="s">
        <v>82</v>
      </c>
      <c r="M51" s="71" t="s">
        <v>83</v>
      </c>
      <c r="N51" s="71">
        <v>754</v>
      </c>
      <c r="O51" s="73">
        <v>2410.77</v>
      </c>
      <c r="P51" s="73">
        <f t="shared" si="0"/>
        <v>1817720.58</v>
      </c>
      <c r="Q51" s="71">
        <v>26</v>
      </c>
      <c r="R51" s="71">
        <v>33</v>
      </c>
      <c r="S51" s="71">
        <f t="shared" si="2"/>
        <v>7</v>
      </c>
      <c r="T51" s="71" t="str">
        <f t="shared" si="1"/>
        <v>No</v>
      </c>
      <c r="U51" s="71">
        <v>1896</v>
      </c>
      <c r="V51" s="71">
        <v>808</v>
      </c>
      <c r="W51" s="71">
        <v>664</v>
      </c>
      <c r="X51" s="71">
        <v>7</v>
      </c>
      <c r="Y51" s="71">
        <v>10</v>
      </c>
      <c r="Z51" s="73">
        <v>1927.94</v>
      </c>
      <c r="AA51" s="73">
        <v>7441</v>
      </c>
      <c r="AB51" s="74">
        <v>0.81</v>
      </c>
    </row>
    <row r="52" spans="1:28" ht="15.75" customHeight="1" x14ac:dyDescent="0.3">
      <c r="A52" s="71" t="s">
        <v>215</v>
      </c>
      <c r="B52" s="72">
        <v>45039</v>
      </c>
      <c r="C52" s="71" t="s">
        <v>85</v>
      </c>
      <c r="D52" s="71" t="s">
        <v>86</v>
      </c>
      <c r="E52" s="71" t="s">
        <v>87</v>
      </c>
      <c r="F52" s="71" t="s">
        <v>66</v>
      </c>
      <c r="G52" s="71" t="s">
        <v>171</v>
      </c>
      <c r="H52" s="71" t="s">
        <v>172</v>
      </c>
      <c r="I52" s="71" t="s">
        <v>58</v>
      </c>
      <c r="J52" s="71" t="s">
        <v>90</v>
      </c>
      <c r="K52" s="71" t="s">
        <v>91</v>
      </c>
      <c r="L52" s="71" t="s">
        <v>92</v>
      </c>
      <c r="M52" s="71" t="s">
        <v>51</v>
      </c>
      <c r="N52" s="71">
        <v>620</v>
      </c>
      <c r="O52" s="73">
        <v>293.08</v>
      </c>
      <c r="P52" s="73">
        <f t="shared" si="0"/>
        <v>181709.59999999998</v>
      </c>
      <c r="Q52" s="71">
        <v>17</v>
      </c>
      <c r="R52" s="71">
        <v>27</v>
      </c>
      <c r="S52" s="71">
        <f t="shared" si="2"/>
        <v>10</v>
      </c>
      <c r="T52" s="71" t="str">
        <f t="shared" si="1"/>
        <v>No</v>
      </c>
      <c r="U52" s="71">
        <v>2187</v>
      </c>
      <c r="V52" s="71">
        <v>373</v>
      </c>
      <c r="W52" s="71">
        <v>442</v>
      </c>
      <c r="X52" s="71">
        <v>2</v>
      </c>
      <c r="Y52" s="71">
        <v>4</v>
      </c>
      <c r="Z52" s="73">
        <v>231.09</v>
      </c>
      <c r="AA52" s="73">
        <v>6072</v>
      </c>
      <c r="AB52" s="74">
        <v>0.9</v>
      </c>
    </row>
    <row r="53" spans="1:28" ht="15.75" customHeight="1" x14ac:dyDescent="0.3">
      <c r="A53" s="71" t="s">
        <v>216</v>
      </c>
      <c r="B53" s="72">
        <v>45043</v>
      </c>
      <c r="C53" s="71" t="s">
        <v>98</v>
      </c>
      <c r="D53" s="71" t="s">
        <v>99</v>
      </c>
      <c r="E53" s="71" t="s">
        <v>100</v>
      </c>
      <c r="F53" s="71" t="s">
        <v>66</v>
      </c>
      <c r="G53" s="71" t="s">
        <v>217</v>
      </c>
      <c r="H53" s="71" t="s">
        <v>218</v>
      </c>
      <c r="I53" s="71" t="s">
        <v>137</v>
      </c>
      <c r="J53" s="71" t="s">
        <v>138</v>
      </c>
      <c r="K53" s="71" t="s">
        <v>189</v>
      </c>
      <c r="L53" s="71" t="s">
        <v>190</v>
      </c>
      <c r="M53" s="71" t="s">
        <v>73</v>
      </c>
      <c r="N53" s="71">
        <v>406</v>
      </c>
      <c r="O53" s="73">
        <v>9591.2800000000007</v>
      </c>
      <c r="P53" s="73">
        <f t="shared" si="0"/>
        <v>3894059.68</v>
      </c>
      <c r="Q53" s="71">
        <v>8</v>
      </c>
      <c r="R53" s="71">
        <v>13</v>
      </c>
      <c r="S53" s="71">
        <f t="shared" si="2"/>
        <v>5</v>
      </c>
      <c r="T53" s="71" t="str">
        <f t="shared" si="1"/>
        <v>No</v>
      </c>
      <c r="U53" s="71">
        <v>2903</v>
      </c>
      <c r="V53" s="71">
        <v>339</v>
      </c>
      <c r="W53" s="71">
        <v>507</v>
      </c>
      <c r="X53" s="71">
        <v>18</v>
      </c>
      <c r="Y53" s="71">
        <v>25</v>
      </c>
      <c r="Z53" s="73">
        <v>6302.58</v>
      </c>
      <c r="AA53" s="73">
        <v>4523</v>
      </c>
      <c r="AB53" s="74">
        <v>0.76</v>
      </c>
    </row>
    <row r="54" spans="1:28" ht="15.75" customHeight="1" x14ac:dyDescent="0.3">
      <c r="A54" s="71" t="s">
        <v>219</v>
      </c>
      <c r="B54" s="72">
        <v>45044</v>
      </c>
      <c r="C54" s="71" t="s">
        <v>133</v>
      </c>
      <c r="D54" s="71" t="s">
        <v>134</v>
      </c>
      <c r="E54" s="71" t="s">
        <v>100</v>
      </c>
      <c r="F54" s="71" t="s">
        <v>55</v>
      </c>
      <c r="G54" s="71" t="s">
        <v>152</v>
      </c>
      <c r="H54" s="71" t="s">
        <v>153</v>
      </c>
      <c r="I54" s="71" t="s">
        <v>58</v>
      </c>
      <c r="J54" s="71" t="s">
        <v>59</v>
      </c>
      <c r="K54" s="71" t="s">
        <v>189</v>
      </c>
      <c r="L54" s="71" t="s">
        <v>190</v>
      </c>
      <c r="M54" s="71" t="s">
        <v>73</v>
      </c>
      <c r="N54" s="71">
        <v>36</v>
      </c>
      <c r="O54" s="73">
        <v>2377.67</v>
      </c>
      <c r="P54" s="73">
        <f t="shared" si="0"/>
        <v>85596.12</v>
      </c>
      <c r="Q54" s="71">
        <v>23</v>
      </c>
      <c r="R54" s="71">
        <v>31</v>
      </c>
      <c r="S54" s="71">
        <f t="shared" si="2"/>
        <v>8</v>
      </c>
      <c r="T54" s="71" t="str">
        <f t="shared" si="1"/>
        <v>No</v>
      </c>
      <c r="U54" s="71">
        <v>2948</v>
      </c>
      <c r="V54" s="71">
        <v>19</v>
      </c>
      <c r="W54" s="71">
        <v>23</v>
      </c>
      <c r="X54" s="71">
        <v>8</v>
      </c>
      <c r="Y54" s="71">
        <v>12</v>
      </c>
      <c r="Z54" s="73">
        <v>1821.56</v>
      </c>
      <c r="AA54" s="73">
        <v>2489</v>
      </c>
      <c r="AB54" s="74">
        <v>0.73</v>
      </c>
    </row>
    <row r="55" spans="1:28" ht="15.75" customHeight="1" x14ac:dyDescent="0.3">
      <c r="A55" s="71" t="s">
        <v>220</v>
      </c>
      <c r="B55" s="72">
        <v>45044</v>
      </c>
      <c r="C55" s="71" t="s">
        <v>221</v>
      </c>
      <c r="D55" s="71" t="s">
        <v>222</v>
      </c>
      <c r="E55" s="71" t="s">
        <v>77</v>
      </c>
      <c r="F55" s="71" t="s">
        <v>44</v>
      </c>
      <c r="G55" s="71" t="s">
        <v>212</v>
      </c>
      <c r="H55" s="71" t="s">
        <v>213</v>
      </c>
      <c r="I55" s="71" t="s">
        <v>214</v>
      </c>
      <c r="J55" s="71" t="s">
        <v>138</v>
      </c>
      <c r="K55" s="71" t="s">
        <v>60</v>
      </c>
      <c r="L55" s="71" t="s">
        <v>61</v>
      </c>
      <c r="M55" s="71" t="s">
        <v>62</v>
      </c>
      <c r="N55" s="71">
        <v>875</v>
      </c>
      <c r="O55" s="73">
        <v>29.13</v>
      </c>
      <c r="P55" s="73">
        <f t="shared" si="0"/>
        <v>25488.75</v>
      </c>
      <c r="Q55" s="71">
        <v>29</v>
      </c>
      <c r="R55" s="71">
        <v>41</v>
      </c>
      <c r="S55" s="71">
        <f t="shared" si="2"/>
        <v>12</v>
      </c>
      <c r="T55" s="71" t="str">
        <f t="shared" si="1"/>
        <v>No</v>
      </c>
      <c r="U55" s="71">
        <v>2784</v>
      </c>
      <c r="V55" s="71">
        <v>937</v>
      </c>
      <c r="W55" s="71">
        <v>766</v>
      </c>
      <c r="X55" s="71">
        <v>1.2</v>
      </c>
      <c r="Y55" s="71">
        <v>2</v>
      </c>
      <c r="Z55" s="73">
        <v>22.89</v>
      </c>
      <c r="AA55" s="73">
        <v>7294</v>
      </c>
      <c r="AB55" s="74">
        <v>0.89</v>
      </c>
    </row>
    <row r="56" spans="1:28" ht="15.75" customHeight="1" x14ac:dyDescent="0.3">
      <c r="A56" s="75" t="s">
        <v>223</v>
      </c>
      <c r="B56" s="76">
        <v>45057</v>
      </c>
      <c r="C56" s="75" t="s">
        <v>133</v>
      </c>
      <c r="D56" s="75" t="s">
        <v>134</v>
      </c>
      <c r="E56" s="75" t="s">
        <v>100</v>
      </c>
      <c r="F56" s="75" t="s">
        <v>128</v>
      </c>
      <c r="G56" s="75" t="s">
        <v>135</v>
      </c>
      <c r="H56" s="75" t="s">
        <v>136</v>
      </c>
      <c r="I56" s="75" t="s">
        <v>137</v>
      </c>
      <c r="J56" s="75" t="s">
        <v>138</v>
      </c>
      <c r="K56" s="75" t="s">
        <v>189</v>
      </c>
      <c r="L56" s="75" t="s">
        <v>190</v>
      </c>
      <c r="M56" s="75" t="s">
        <v>73</v>
      </c>
      <c r="N56" s="75">
        <v>410</v>
      </c>
      <c r="O56" s="77">
        <v>2336.65</v>
      </c>
      <c r="P56" s="77">
        <f t="shared" si="0"/>
        <v>958026.5</v>
      </c>
      <c r="Q56" s="75">
        <v>29</v>
      </c>
      <c r="R56" s="75">
        <v>32</v>
      </c>
      <c r="S56" s="75">
        <f t="shared" si="2"/>
        <v>3</v>
      </c>
      <c r="T56" s="75" t="str">
        <f t="shared" si="1"/>
        <v>No</v>
      </c>
      <c r="U56" s="75">
        <v>765</v>
      </c>
      <c r="V56" s="75">
        <v>419</v>
      </c>
      <c r="W56" s="75">
        <v>605</v>
      </c>
      <c r="X56" s="75">
        <v>8</v>
      </c>
      <c r="Y56" s="75">
        <v>12</v>
      </c>
      <c r="Z56" s="77">
        <v>1854.14</v>
      </c>
      <c r="AA56" s="77">
        <v>2309</v>
      </c>
      <c r="AB56" s="78">
        <v>0.88</v>
      </c>
    </row>
    <row r="57" spans="1:28" ht="15.75" customHeight="1" x14ac:dyDescent="0.3">
      <c r="A57" s="71" t="s">
        <v>224</v>
      </c>
      <c r="B57" s="72">
        <v>45059</v>
      </c>
      <c r="C57" s="71" t="s">
        <v>155</v>
      </c>
      <c r="D57" s="71" t="s">
        <v>156</v>
      </c>
      <c r="E57" s="71" t="s">
        <v>87</v>
      </c>
      <c r="F57" s="71" t="s">
        <v>128</v>
      </c>
      <c r="G57" s="71" t="s">
        <v>175</v>
      </c>
      <c r="H57" s="71" t="s">
        <v>176</v>
      </c>
      <c r="I57" s="71" t="s">
        <v>58</v>
      </c>
      <c r="J57" s="71" t="s">
        <v>59</v>
      </c>
      <c r="K57" s="71" t="s">
        <v>91</v>
      </c>
      <c r="L57" s="71" t="s">
        <v>92</v>
      </c>
      <c r="M57" s="71" t="s">
        <v>51</v>
      </c>
      <c r="N57" s="71">
        <v>417</v>
      </c>
      <c r="O57" s="73">
        <v>206.98</v>
      </c>
      <c r="P57" s="73">
        <f t="shared" si="0"/>
        <v>86310.659999999989</v>
      </c>
      <c r="Q57" s="71">
        <v>28</v>
      </c>
      <c r="R57" s="71">
        <v>38</v>
      </c>
      <c r="S57" s="71">
        <f t="shared" si="2"/>
        <v>10</v>
      </c>
      <c r="T57" s="71" t="str">
        <f t="shared" si="1"/>
        <v>No</v>
      </c>
      <c r="U57" s="71">
        <v>1702</v>
      </c>
      <c r="V57" s="71">
        <v>509</v>
      </c>
      <c r="W57" s="71">
        <v>700</v>
      </c>
      <c r="X57" s="71">
        <v>2.5</v>
      </c>
      <c r="Y57" s="71">
        <v>4</v>
      </c>
      <c r="Z57" s="73">
        <v>127.24</v>
      </c>
      <c r="AA57" s="73">
        <v>3097</v>
      </c>
      <c r="AB57" s="74">
        <v>0.88</v>
      </c>
    </row>
    <row r="58" spans="1:28" ht="15.75" customHeight="1" x14ac:dyDescent="0.3">
      <c r="A58" s="71" t="s">
        <v>225</v>
      </c>
      <c r="B58" s="72">
        <v>45065</v>
      </c>
      <c r="C58" s="71" t="s">
        <v>64</v>
      </c>
      <c r="D58" s="71" t="s">
        <v>65</v>
      </c>
      <c r="E58" s="71" t="s">
        <v>43</v>
      </c>
      <c r="F58" s="71" t="s">
        <v>113</v>
      </c>
      <c r="G58" s="71" t="s">
        <v>130</v>
      </c>
      <c r="H58" s="71" t="s">
        <v>131</v>
      </c>
      <c r="I58" s="71" t="s">
        <v>69</v>
      </c>
      <c r="J58" s="71" t="s">
        <v>70</v>
      </c>
      <c r="K58" s="71" t="s">
        <v>60</v>
      </c>
      <c r="L58" s="71" t="s">
        <v>61</v>
      </c>
      <c r="M58" s="71" t="s">
        <v>62</v>
      </c>
      <c r="N58" s="71">
        <v>99</v>
      </c>
      <c r="O58" s="73">
        <v>496.18</v>
      </c>
      <c r="P58" s="73">
        <f t="shared" si="0"/>
        <v>49121.82</v>
      </c>
      <c r="Q58" s="71">
        <v>15</v>
      </c>
      <c r="R58" s="71">
        <v>17</v>
      </c>
      <c r="S58" s="71">
        <f t="shared" si="2"/>
        <v>2</v>
      </c>
      <c r="T58" s="71" t="str">
        <f t="shared" si="1"/>
        <v>No</v>
      </c>
      <c r="U58" s="71">
        <v>2272</v>
      </c>
      <c r="V58" s="71">
        <v>94</v>
      </c>
      <c r="W58" s="71">
        <v>133</v>
      </c>
      <c r="X58" s="71">
        <v>3</v>
      </c>
      <c r="Y58" s="71">
        <v>5</v>
      </c>
      <c r="Z58" s="73">
        <v>382.2</v>
      </c>
      <c r="AA58" s="73">
        <v>6331</v>
      </c>
      <c r="AB58" s="74">
        <v>0.9</v>
      </c>
    </row>
    <row r="59" spans="1:28" ht="15.75" customHeight="1" x14ac:dyDescent="0.3">
      <c r="A59" s="71" t="s">
        <v>226</v>
      </c>
      <c r="B59" s="72">
        <v>45066</v>
      </c>
      <c r="C59" s="71" t="s">
        <v>64</v>
      </c>
      <c r="D59" s="71" t="s">
        <v>65</v>
      </c>
      <c r="E59" s="71" t="s">
        <v>43</v>
      </c>
      <c r="F59" s="71" t="s">
        <v>55</v>
      </c>
      <c r="G59" s="71" t="s">
        <v>56</v>
      </c>
      <c r="H59" s="71" t="s">
        <v>57</v>
      </c>
      <c r="I59" s="71" t="s">
        <v>58</v>
      </c>
      <c r="J59" s="71" t="s">
        <v>59</v>
      </c>
      <c r="K59" s="71" t="s">
        <v>60</v>
      </c>
      <c r="L59" s="71" t="s">
        <v>61</v>
      </c>
      <c r="M59" s="71" t="s">
        <v>62</v>
      </c>
      <c r="N59" s="71">
        <v>358</v>
      </c>
      <c r="O59" s="73">
        <v>510.1</v>
      </c>
      <c r="P59" s="73">
        <f t="shared" si="0"/>
        <v>182615.80000000002</v>
      </c>
      <c r="Q59" s="71">
        <v>21</v>
      </c>
      <c r="R59" s="71">
        <v>22</v>
      </c>
      <c r="S59" s="71">
        <f t="shared" si="2"/>
        <v>1</v>
      </c>
      <c r="T59" s="71" t="str">
        <f t="shared" si="1"/>
        <v>No</v>
      </c>
      <c r="U59" s="71">
        <v>1178</v>
      </c>
      <c r="V59" s="71">
        <v>419</v>
      </c>
      <c r="W59" s="71">
        <v>580</v>
      </c>
      <c r="X59" s="71">
        <v>3</v>
      </c>
      <c r="Y59" s="71">
        <v>5</v>
      </c>
      <c r="Z59" s="73">
        <v>365.23</v>
      </c>
      <c r="AA59" s="73">
        <v>5906</v>
      </c>
      <c r="AB59" s="74">
        <v>0.84</v>
      </c>
    </row>
    <row r="60" spans="1:28" ht="15.75" customHeight="1" x14ac:dyDescent="0.3">
      <c r="A60" s="79" t="s">
        <v>227</v>
      </c>
      <c r="B60" s="80">
        <v>45069</v>
      </c>
      <c r="C60" s="79" t="s">
        <v>161</v>
      </c>
      <c r="D60" s="79" t="s">
        <v>162</v>
      </c>
      <c r="E60" s="79" t="s">
        <v>77</v>
      </c>
      <c r="F60" s="79" t="s">
        <v>44</v>
      </c>
      <c r="G60" s="79" t="s">
        <v>101</v>
      </c>
      <c r="H60" s="79" t="s">
        <v>102</v>
      </c>
      <c r="I60" s="79" t="s">
        <v>69</v>
      </c>
      <c r="J60" s="79" t="s">
        <v>103</v>
      </c>
      <c r="K60" s="79" t="s">
        <v>60</v>
      </c>
      <c r="L60" s="79" t="s">
        <v>61</v>
      </c>
      <c r="M60" s="79" t="s">
        <v>62</v>
      </c>
      <c r="N60" s="79">
        <v>774</v>
      </c>
      <c r="O60" s="81">
        <v>47.08</v>
      </c>
      <c r="P60" s="81">
        <f t="shared" si="0"/>
        <v>36439.919999999998</v>
      </c>
      <c r="Q60" s="79">
        <v>23</v>
      </c>
      <c r="R60" s="79">
        <v>30</v>
      </c>
      <c r="S60" s="79">
        <f t="shared" si="2"/>
        <v>7</v>
      </c>
      <c r="T60" s="79" t="str">
        <f t="shared" si="1"/>
        <v>No</v>
      </c>
      <c r="U60" s="79">
        <v>918</v>
      </c>
      <c r="V60" s="79">
        <v>1158</v>
      </c>
      <c r="W60" s="79">
        <v>1038</v>
      </c>
      <c r="X60" s="79">
        <v>1.5</v>
      </c>
      <c r="Y60" s="79">
        <v>2</v>
      </c>
      <c r="Z60" s="81">
        <v>32.89</v>
      </c>
      <c r="AA60" s="81">
        <v>6691</v>
      </c>
      <c r="AB60" s="82">
        <v>0.71</v>
      </c>
    </row>
    <row r="61" spans="1:28" ht="15.75" customHeight="1" x14ac:dyDescent="0.3">
      <c r="A61" s="71" t="s">
        <v>228</v>
      </c>
      <c r="B61" s="72">
        <v>45070</v>
      </c>
      <c r="C61" s="71" t="s">
        <v>111</v>
      </c>
      <c r="D61" s="71" t="s">
        <v>112</v>
      </c>
      <c r="E61" s="71" t="s">
        <v>87</v>
      </c>
      <c r="F61" s="71" t="s">
        <v>128</v>
      </c>
      <c r="G61" s="71" t="s">
        <v>229</v>
      </c>
      <c r="H61" s="71" t="s">
        <v>230</v>
      </c>
      <c r="I61" s="71" t="s">
        <v>69</v>
      </c>
      <c r="J61" s="71" t="s">
        <v>70</v>
      </c>
      <c r="K61" s="71" t="s">
        <v>81</v>
      </c>
      <c r="L61" s="71" t="s">
        <v>82</v>
      </c>
      <c r="M61" s="71" t="s">
        <v>83</v>
      </c>
      <c r="N61" s="71">
        <v>143</v>
      </c>
      <c r="O61" s="73">
        <v>807.1</v>
      </c>
      <c r="P61" s="73">
        <f t="shared" si="0"/>
        <v>115415.3</v>
      </c>
      <c r="Q61" s="71">
        <v>17</v>
      </c>
      <c r="R61" s="71">
        <v>28</v>
      </c>
      <c r="S61" s="71">
        <f t="shared" si="2"/>
        <v>11</v>
      </c>
      <c r="T61" s="71" t="str">
        <f t="shared" si="1"/>
        <v>No</v>
      </c>
      <c r="U61" s="71">
        <v>2601</v>
      </c>
      <c r="V61" s="71">
        <v>203</v>
      </c>
      <c r="W61" s="71">
        <v>174</v>
      </c>
      <c r="X61" s="71">
        <v>4</v>
      </c>
      <c r="Y61" s="71">
        <v>6</v>
      </c>
      <c r="Z61" s="73">
        <v>578.87</v>
      </c>
      <c r="AA61" s="73">
        <v>7158</v>
      </c>
      <c r="AB61" s="74">
        <v>0.72</v>
      </c>
    </row>
    <row r="62" spans="1:28" ht="15.75" customHeight="1" x14ac:dyDescent="0.3">
      <c r="A62" s="79" t="s">
        <v>231</v>
      </c>
      <c r="B62" s="80">
        <v>45072</v>
      </c>
      <c r="C62" s="79" t="s">
        <v>221</v>
      </c>
      <c r="D62" s="79" t="s">
        <v>222</v>
      </c>
      <c r="E62" s="79" t="s">
        <v>77</v>
      </c>
      <c r="F62" s="79" t="s">
        <v>128</v>
      </c>
      <c r="G62" s="79" t="s">
        <v>229</v>
      </c>
      <c r="H62" s="79" t="s">
        <v>230</v>
      </c>
      <c r="I62" s="79" t="s">
        <v>69</v>
      </c>
      <c r="J62" s="79" t="s">
        <v>70</v>
      </c>
      <c r="K62" s="79" t="s">
        <v>81</v>
      </c>
      <c r="L62" s="79" t="s">
        <v>82</v>
      </c>
      <c r="M62" s="79" t="s">
        <v>83</v>
      </c>
      <c r="N62" s="79">
        <v>928</v>
      </c>
      <c r="O62" s="81">
        <v>31.12</v>
      </c>
      <c r="P62" s="81">
        <f t="shared" si="0"/>
        <v>28879.360000000001</v>
      </c>
      <c r="Q62" s="79">
        <v>18</v>
      </c>
      <c r="R62" s="79">
        <v>26</v>
      </c>
      <c r="S62" s="79">
        <f t="shared" si="2"/>
        <v>8</v>
      </c>
      <c r="T62" s="79" t="str">
        <f t="shared" si="1"/>
        <v>No</v>
      </c>
      <c r="U62" s="79">
        <v>367</v>
      </c>
      <c r="V62" s="79">
        <v>925</v>
      </c>
      <c r="W62" s="79">
        <v>1067</v>
      </c>
      <c r="X62" s="79">
        <v>1.2</v>
      </c>
      <c r="Y62" s="79">
        <v>2</v>
      </c>
      <c r="Z62" s="81">
        <v>22.64</v>
      </c>
      <c r="AA62" s="81">
        <v>3730</v>
      </c>
      <c r="AB62" s="82">
        <v>0.72</v>
      </c>
    </row>
    <row r="63" spans="1:28" ht="15.75" customHeight="1" x14ac:dyDescent="0.3">
      <c r="A63" s="71" t="s">
        <v>232</v>
      </c>
      <c r="B63" s="72">
        <v>45073</v>
      </c>
      <c r="C63" s="71" t="s">
        <v>187</v>
      </c>
      <c r="D63" s="71" t="s">
        <v>188</v>
      </c>
      <c r="E63" s="71" t="s">
        <v>100</v>
      </c>
      <c r="F63" s="71" t="s">
        <v>66</v>
      </c>
      <c r="G63" s="71" t="s">
        <v>114</v>
      </c>
      <c r="H63" s="71" t="s">
        <v>115</v>
      </c>
      <c r="I63" s="71" t="s">
        <v>58</v>
      </c>
      <c r="J63" s="71" t="s">
        <v>90</v>
      </c>
      <c r="K63" s="71" t="s">
        <v>104</v>
      </c>
      <c r="L63" s="71" t="s">
        <v>105</v>
      </c>
      <c r="M63" s="71" t="s">
        <v>106</v>
      </c>
      <c r="N63" s="71">
        <v>291</v>
      </c>
      <c r="O63" s="73">
        <v>3844.01</v>
      </c>
      <c r="P63" s="73">
        <f t="shared" si="0"/>
        <v>1118606.9100000001</v>
      </c>
      <c r="Q63" s="71">
        <v>23</v>
      </c>
      <c r="R63" s="71">
        <v>33</v>
      </c>
      <c r="S63" s="71">
        <f t="shared" si="2"/>
        <v>10</v>
      </c>
      <c r="T63" s="71" t="str">
        <f t="shared" si="1"/>
        <v>No</v>
      </c>
      <c r="U63" s="71">
        <v>2800</v>
      </c>
      <c r="V63" s="71">
        <v>236</v>
      </c>
      <c r="W63" s="71">
        <v>270</v>
      </c>
      <c r="X63" s="71">
        <v>12</v>
      </c>
      <c r="Y63" s="71">
        <v>18</v>
      </c>
      <c r="Z63" s="73">
        <v>3053.9</v>
      </c>
      <c r="AA63" s="73">
        <v>5770</v>
      </c>
      <c r="AB63" s="74">
        <v>0.89</v>
      </c>
    </row>
    <row r="64" spans="1:28" ht="15.75" customHeight="1" x14ac:dyDescent="0.3">
      <c r="A64" s="79" t="s">
        <v>233</v>
      </c>
      <c r="B64" s="80">
        <v>45075</v>
      </c>
      <c r="C64" s="79" t="s">
        <v>234</v>
      </c>
      <c r="D64" s="79" t="s">
        <v>235</v>
      </c>
      <c r="E64" s="79" t="s">
        <v>43</v>
      </c>
      <c r="F64" s="79" t="s">
        <v>128</v>
      </c>
      <c r="G64" s="79" t="s">
        <v>236</v>
      </c>
      <c r="H64" s="79" t="s">
        <v>237</v>
      </c>
      <c r="I64" s="79" t="s">
        <v>47</v>
      </c>
      <c r="J64" s="79" t="s">
        <v>48</v>
      </c>
      <c r="K64" s="79" t="s">
        <v>104</v>
      </c>
      <c r="L64" s="79" t="s">
        <v>105</v>
      </c>
      <c r="M64" s="79" t="s">
        <v>106</v>
      </c>
      <c r="N64" s="79">
        <v>778</v>
      </c>
      <c r="O64" s="81">
        <v>1315.66</v>
      </c>
      <c r="P64" s="81">
        <f t="shared" si="0"/>
        <v>1023583.4800000001</v>
      </c>
      <c r="Q64" s="79">
        <v>14</v>
      </c>
      <c r="R64" s="79">
        <v>17</v>
      </c>
      <c r="S64" s="79">
        <f t="shared" si="2"/>
        <v>3</v>
      </c>
      <c r="T64" s="79" t="str">
        <f t="shared" si="1"/>
        <v>No</v>
      </c>
      <c r="U64" s="79">
        <v>274</v>
      </c>
      <c r="V64" s="79">
        <v>878</v>
      </c>
      <c r="W64" s="79">
        <v>883</v>
      </c>
      <c r="X64" s="79">
        <v>5</v>
      </c>
      <c r="Y64" s="79">
        <v>8</v>
      </c>
      <c r="Z64" s="81">
        <v>987.69</v>
      </c>
      <c r="AA64" s="81">
        <v>764</v>
      </c>
      <c r="AB64" s="82">
        <v>0.8</v>
      </c>
    </row>
    <row r="65" spans="1:28" ht="15.75" customHeight="1" x14ac:dyDescent="0.3">
      <c r="A65" s="71" t="s">
        <v>238</v>
      </c>
      <c r="B65" s="72">
        <v>45078</v>
      </c>
      <c r="C65" s="71" t="s">
        <v>41</v>
      </c>
      <c r="D65" s="71" t="s">
        <v>42</v>
      </c>
      <c r="E65" s="71" t="s">
        <v>43</v>
      </c>
      <c r="F65" s="71" t="s">
        <v>66</v>
      </c>
      <c r="G65" s="71" t="s">
        <v>56</v>
      </c>
      <c r="H65" s="71" t="s">
        <v>57</v>
      </c>
      <c r="I65" s="71" t="s">
        <v>58</v>
      </c>
      <c r="J65" s="71" t="s">
        <v>59</v>
      </c>
      <c r="K65" s="71" t="s">
        <v>108</v>
      </c>
      <c r="L65" s="71" t="s">
        <v>109</v>
      </c>
      <c r="M65" s="71" t="s">
        <v>62</v>
      </c>
      <c r="N65" s="71">
        <v>876</v>
      </c>
      <c r="O65" s="73">
        <v>12894.67</v>
      </c>
      <c r="P65" s="73">
        <f t="shared" si="0"/>
        <v>11295730.92</v>
      </c>
      <c r="Q65" s="71">
        <v>16</v>
      </c>
      <c r="R65" s="71">
        <v>20</v>
      </c>
      <c r="S65" s="71">
        <f t="shared" si="2"/>
        <v>4</v>
      </c>
      <c r="T65" s="71" t="str">
        <f t="shared" si="1"/>
        <v>No</v>
      </c>
      <c r="U65" s="71">
        <v>2905</v>
      </c>
      <c r="V65" s="71">
        <v>1252</v>
      </c>
      <c r="W65" s="71">
        <v>1348</v>
      </c>
      <c r="X65" s="71">
        <v>25</v>
      </c>
      <c r="Y65" s="71">
        <v>35</v>
      </c>
      <c r="Z65" s="73">
        <v>7997.36</v>
      </c>
      <c r="AA65" s="73">
        <v>2972</v>
      </c>
      <c r="AB65" s="74">
        <v>0.79</v>
      </c>
    </row>
    <row r="66" spans="1:28" ht="15.75" customHeight="1" x14ac:dyDescent="0.3">
      <c r="A66" s="75" t="s">
        <v>239</v>
      </c>
      <c r="B66" s="76">
        <v>45079</v>
      </c>
      <c r="C66" s="75" t="s">
        <v>117</v>
      </c>
      <c r="D66" s="75" t="s">
        <v>118</v>
      </c>
      <c r="E66" s="75" t="s">
        <v>87</v>
      </c>
      <c r="F66" s="75" t="s">
        <v>44</v>
      </c>
      <c r="G66" s="75" t="s">
        <v>217</v>
      </c>
      <c r="H66" s="75" t="s">
        <v>218</v>
      </c>
      <c r="I66" s="75" t="s">
        <v>137</v>
      </c>
      <c r="J66" s="75" t="s">
        <v>138</v>
      </c>
      <c r="K66" s="75" t="s">
        <v>91</v>
      </c>
      <c r="L66" s="75" t="s">
        <v>92</v>
      </c>
      <c r="M66" s="75" t="s">
        <v>51</v>
      </c>
      <c r="N66" s="75">
        <v>350</v>
      </c>
      <c r="O66" s="77">
        <v>2283.5500000000002</v>
      </c>
      <c r="P66" s="77">
        <f t="shared" si="0"/>
        <v>799242.50000000012</v>
      </c>
      <c r="Q66" s="75">
        <v>22</v>
      </c>
      <c r="R66" s="75">
        <v>31</v>
      </c>
      <c r="S66" s="75">
        <f t="shared" si="2"/>
        <v>9</v>
      </c>
      <c r="T66" s="75" t="str">
        <f t="shared" si="1"/>
        <v>No</v>
      </c>
      <c r="U66" s="75">
        <v>1338</v>
      </c>
      <c r="V66" s="75">
        <v>470</v>
      </c>
      <c r="W66" s="75">
        <v>698</v>
      </c>
      <c r="X66" s="75">
        <v>7</v>
      </c>
      <c r="Y66" s="75">
        <v>10</v>
      </c>
      <c r="Z66" s="77">
        <v>1479.2</v>
      </c>
      <c r="AA66" s="77">
        <v>3637</v>
      </c>
      <c r="AB66" s="78">
        <v>0.77</v>
      </c>
    </row>
    <row r="67" spans="1:28" ht="15.75" customHeight="1" x14ac:dyDescent="0.3">
      <c r="A67" s="71" t="s">
        <v>240</v>
      </c>
      <c r="B67" s="72">
        <v>45082</v>
      </c>
      <c r="C67" s="71" t="s">
        <v>241</v>
      </c>
      <c r="D67" s="71" t="s">
        <v>242</v>
      </c>
      <c r="E67" s="71" t="s">
        <v>100</v>
      </c>
      <c r="F67" s="71" t="s">
        <v>44</v>
      </c>
      <c r="G67" s="71" t="s">
        <v>67</v>
      </c>
      <c r="H67" s="71" t="s">
        <v>68</v>
      </c>
      <c r="I67" s="71" t="s">
        <v>69</v>
      </c>
      <c r="J67" s="71" t="s">
        <v>70</v>
      </c>
      <c r="K67" s="71" t="s">
        <v>104</v>
      </c>
      <c r="L67" s="71" t="s">
        <v>105</v>
      </c>
      <c r="M67" s="71" t="s">
        <v>106</v>
      </c>
      <c r="N67" s="71">
        <v>890</v>
      </c>
      <c r="O67" s="73">
        <v>1431.47</v>
      </c>
      <c r="P67" s="73">
        <f t="shared" si="0"/>
        <v>1274008.3</v>
      </c>
      <c r="Q67" s="71">
        <v>8</v>
      </c>
      <c r="R67" s="71">
        <v>9</v>
      </c>
      <c r="S67" s="71">
        <f t="shared" si="2"/>
        <v>1</v>
      </c>
      <c r="T67" s="71" t="str">
        <f t="shared" si="1"/>
        <v>No</v>
      </c>
      <c r="U67" s="71">
        <v>2434</v>
      </c>
      <c r="V67" s="71">
        <v>1046</v>
      </c>
      <c r="W67" s="71">
        <v>1094</v>
      </c>
      <c r="X67" s="71">
        <v>5</v>
      </c>
      <c r="Y67" s="71">
        <v>7</v>
      </c>
      <c r="Z67" s="73">
        <v>981.81</v>
      </c>
      <c r="AA67" s="73">
        <v>6980</v>
      </c>
      <c r="AB67" s="74">
        <v>0.74</v>
      </c>
    </row>
    <row r="68" spans="1:28" ht="15.75" customHeight="1" x14ac:dyDescent="0.3">
      <c r="A68" s="71" t="s">
        <v>243</v>
      </c>
      <c r="B68" s="72">
        <v>45088</v>
      </c>
      <c r="C68" s="71" t="s">
        <v>117</v>
      </c>
      <c r="D68" s="71" t="s">
        <v>118</v>
      </c>
      <c r="E68" s="71" t="s">
        <v>87</v>
      </c>
      <c r="F68" s="71" t="s">
        <v>113</v>
      </c>
      <c r="G68" s="71" t="s">
        <v>203</v>
      </c>
      <c r="H68" s="71" t="s">
        <v>204</v>
      </c>
      <c r="I68" s="71" t="s">
        <v>58</v>
      </c>
      <c r="J68" s="71" t="s">
        <v>90</v>
      </c>
      <c r="K68" s="71" t="s">
        <v>91</v>
      </c>
      <c r="L68" s="71" t="s">
        <v>92</v>
      </c>
      <c r="M68" s="71" t="s">
        <v>51</v>
      </c>
      <c r="N68" s="71">
        <v>217</v>
      </c>
      <c r="O68" s="73">
        <v>2527.63</v>
      </c>
      <c r="P68" s="73">
        <f t="shared" si="0"/>
        <v>548495.71000000008</v>
      </c>
      <c r="Q68" s="71">
        <v>9</v>
      </c>
      <c r="R68" s="71">
        <v>12</v>
      </c>
      <c r="S68" s="71">
        <f t="shared" si="2"/>
        <v>3</v>
      </c>
      <c r="T68" s="71" t="str">
        <f t="shared" si="1"/>
        <v>No</v>
      </c>
      <c r="U68" s="71">
        <v>1142</v>
      </c>
      <c r="V68" s="71">
        <v>89</v>
      </c>
      <c r="W68" s="71">
        <v>93</v>
      </c>
      <c r="X68" s="71">
        <v>7</v>
      </c>
      <c r="Y68" s="71">
        <v>10</v>
      </c>
      <c r="Z68" s="73">
        <v>1558.24</v>
      </c>
      <c r="AA68" s="73">
        <v>5943</v>
      </c>
      <c r="AB68" s="74">
        <v>0.95</v>
      </c>
    </row>
    <row r="69" spans="1:28" ht="15.75" customHeight="1" x14ac:dyDescent="0.3">
      <c r="A69" s="71" t="s">
        <v>244</v>
      </c>
      <c r="B69" s="72">
        <v>45088</v>
      </c>
      <c r="C69" s="71" t="s">
        <v>241</v>
      </c>
      <c r="D69" s="71" t="s">
        <v>242</v>
      </c>
      <c r="E69" s="71" t="s">
        <v>100</v>
      </c>
      <c r="F69" s="71" t="s">
        <v>113</v>
      </c>
      <c r="G69" s="71" t="s">
        <v>140</v>
      </c>
      <c r="H69" s="71" t="s">
        <v>141</v>
      </c>
      <c r="I69" s="71" t="s">
        <v>58</v>
      </c>
      <c r="J69" s="71" t="s">
        <v>90</v>
      </c>
      <c r="K69" s="71" t="s">
        <v>104</v>
      </c>
      <c r="L69" s="71" t="s">
        <v>105</v>
      </c>
      <c r="M69" s="71" t="s">
        <v>106</v>
      </c>
      <c r="N69" s="71">
        <v>188</v>
      </c>
      <c r="O69" s="73">
        <v>1615.19</v>
      </c>
      <c r="P69" s="73">
        <f t="shared" si="0"/>
        <v>303655.72000000003</v>
      </c>
      <c r="Q69" s="71">
        <v>22</v>
      </c>
      <c r="R69" s="71">
        <v>30</v>
      </c>
      <c r="S69" s="71">
        <f t="shared" si="2"/>
        <v>8</v>
      </c>
      <c r="T69" s="71" t="str">
        <f t="shared" si="1"/>
        <v>No</v>
      </c>
      <c r="U69" s="71">
        <v>934</v>
      </c>
      <c r="V69" s="71">
        <v>206</v>
      </c>
      <c r="W69" s="71">
        <v>282</v>
      </c>
      <c r="X69" s="71">
        <v>5</v>
      </c>
      <c r="Y69" s="71">
        <v>7</v>
      </c>
      <c r="Z69" s="73">
        <v>1091.3499999999999</v>
      </c>
      <c r="AA69" s="73">
        <v>6512</v>
      </c>
      <c r="AB69" s="74">
        <v>0.89</v>
      </c>
    </row>
    <row r="70" spans="1:28" ht="15.75" customHeight="1" x14ac:dyDescent="0.3">
      <c r="A70" s="71" t="s">
        <v>245</v>
      </c>
      <c r="B70" s="72">
        <v>45096</v>
      </c>
      <c r="C70" s="71" t="s">
        <v>117</v>
      </c>
      <c r="D70" s="71" t="s">
        <v>118</v>
      </c>
      <c r="E70" s="71" t="s">
        <v>87</v>
      </c>
      <c r="F70" s="71" t="s">
        <v>128</v>
      </c>
      <c r="G70" s="71" t="s">
        <v>114</v>
      </c>
      <c r="H70" s="71" t="s">
        <v>115</v>
      </c>
      <c r="I70" s="71" t="s">
        <v>58</v>
      </c>
      <c r="J70" s="71" t="s">
        <v>90</v>
      </c>
      <c r="K70" s="71" t="s">
        <v>91</v>
      </c>
      <c r="L70" s="71" t="s">
        <v>92</v>
      </c>
      <c r="M70" s="71" t="s">
        <v>51</v>
      </c>
      <c r="N70" s="71">
        <v>702</v>
      </c>
      <c r="O70" s="73">
        <v>2375.77</v>
      </c>
      <c r="P70" s="73">
        <f t="shared" si="0"/>
        <v>1667790.54</v>
      </c>
      <c r="Q70" s="71">
        <v>19</v>
      </c>
      <c r="R70" s="71">
        <v>26</v>
      </c>
      <c r="S70" s="71">
        <f t="shared" si="2"/>
        <v>7</v>
      </c>
      <c r="T70" s="71" t="str">
        <f t="shared" si="1"/>
        <v>No</v>
      </c>
      <c r="U70" s="71">
        <v>1858</v>
      </c>
      <c r="V70" s="71">
        <v>407</v>
      </c>
      <c r="W70" s="71">
        <v>393</v>
      </c>
      <c r="X70" s="71">
        <v>7</v>
      </c>
      <c r="Y70" s="71">
        <v>10</v>
      </c>
      <c r="Z70" s="73">
        <v>1884.27</v>
      </c>
      <c r="AA70" s="73">
        <v>6925</v>
      </c>
      <c r="AB70" s="74">
        <v>0.83</v>
      </c>
    </row>
    <row r="71" spans="1:28" ht="15.75" customHeight="1" x14ac:dyDescent="0.3">
      <c r="A71" s="79" t="s">
        <v>246</v>
      </c>
      <c r="B71" s="80">
        <v>45096</v>
      </c>
      <c r="C71" s="79" t="s">
        <v>234</v>
      </c>
      <c r="D71" s="79" t="s">
        <v>235</v>
      </c>
      <c r="E71" s="79" t="s">
        <v>43</v>
      </c>
      <c r="F71" s="79" t="s">
        <v>113</v>
      </c>
      <c r="G71" s="79" t="s">
        <v>140</v>
      </c>
      <c r="H71" s="79" t="s">
        <v>141</v>
      </c>
      <c r="I71" s="79" t="s">
        <v>58</v>
      </c>
      <c r="J71" s="79" t="s">
        <v>90</v>
      </c>
      <c r="K71" s="79" t="s">
        <v>104</v>
      </c>
      <c r="L71" s="79" t="s">
        <v>105</v>
      </c>
      <c r="M71" s="79" t="s">
        <v>106</v>
      </c>
      <c r="N71" s="79">
        <v>753</v>
      </c>
      <c r="O71" s="81">
        <v>1289.83</v>
      </c>
      <c r="P71" s="81">
        <f t="shared" si="0"/>
        <v>971241.99</v>
      </c>
      <c r="Q71" s="79">
        <v>12</v>
      </c>
      <c r="R71" s="79">
        <v>24</v>
      </c>
      <c r="S71" s="79">
        <f t="shared" si="2"/>
        <v>12</v>
      </c>
      <c r="T71" s="79" t="str">
        <f t="shared" si="1"/>
        <v>No</v>
      </c>
      <c r="U71" s="79">
        <v>393</v>
      </c>
      <c r="V71" s="79">
        <v>861</v>
      </c>
      <c r="W71" s="79">
        <v>689</v>
      </c>
      <c r="X71" s="79">
        <v>5</v>
      </c>
      <c r="Y71" s="79">
        <v>8</v>
      </c>
      <c r="Z71" s="81">
        <v>896.9</v>
      </c>
      <c r="AA71" s="81">
        <v>1587</v>
      </c>
      <c r="AB71" s="82">
        <v>0.87</v>
      </c>
    </row>
    <row r="72" spans="1:28" ht="15.75" customHeight="1" x14ac:dyDescent="0.3">
      <c r="A72" s="75" t="s">
        <v>247</v>
      </c>
      <c r="B72" s="76">
        <v>45097</v>
      </c>
      <c r="C72" s="75" t="s">
        <v>181</v>
      </c>
      <c r="D72" s="75" t="s">
        <v>182</v>
      </c>
      <c r="E72" s="75" t="s">
        <v>127</v>
      </c>
      <c r="F72" s="75" t="s">
        <v>128</v>
      </c>
      <c r="G72" s="75" t="s">
        <v>229</v>
      </c>
      <c r="H72" s="75" t="s">
        <v>230</v>
      </c>
      <c r="I72" s="75" t="s">
        <v>69</v>
      </c>
      <c r="J72" s="75" t="s">
        <v>70</v>
      </c>
      <c r="K72" s="75" t="s">
        <v>91</v>
      </c>
      <c r="L72" s="75" t="s">
        <v>92</v>
      </c>
      <c r="M72" s="75" t="s">
        <v>51</v>
      </c>
      <c r="N72" s="75">
        <v>825</v>
      </c>
      <c r="O72" s="77">
        <v>1690.96</v>
      </c>
      <c r="P72" s="77">
        <f t="shared" si="0"/>
        <v>1395042</v>
      </c>
      <c r="Q72" s="75">
        <v>16</v>
      </c>
      <c r="R72" s="75">
        <v>23</v>
      </c>
      <c r="S72" s="75">
        <f t="shared" si="2"/>
        <v>7</v>
      </c>
      <c r="T72" s="75" t="str">
        <f t="shared" si="1"/>
        <v>No</v>
      </c>
      <c r="U72" s="75">
        <v>616</v>
      </c>
      <c r="V72" s="75">
        <v>489</v>
      </c>
      <c r="W72" s="75">
        <v>532</v>
      </c>
      <c r="X72" s="75">
        <v>7</v>
      </c>
      <c r="Y72" s="75">
        <v>10</v>
      </c>
      <c r="Z72" s="77">
        <v>1245.1500000000001</v>
      </c>
      <c r="AA72" s="77">
        <v>1975</v>
      </c>
      <c r="AB72" s="78">
        <v>0.75</v>
      </c>
    </row>
    <row r="73" spans="1:28" ht="15.75" customHeight="1" x14ac:dyDescent="0.3">
      <c r="A73" s="79" t="s">
        <v>248</v>
      </c>
      <c r="B73" s="80">
        <v>45097</v>
      </c>
      <c r="C73" s="79" t="s">
        <v>155</v>
      </c>
      <c r="D73" s="79" t="s">
        <v>156</v>
      </c>
      <c r="E73" s="79" t="s">
        <v>87</v>
      </c>
      <c r="F73" s="79" t="s">
        <v>128</v>
      </c>
      <c r="G73" s="79" t="s">
        <v>166</v>
      </c>
      <c r="H73" s="79" t="s">
        <v>167</v>
      </c>
      <c r="I73" s="79" t="s">
        <v>69</v>
      </c>
      <c r="J73" s="79" t="s">
        <v>103</v>
      </c>
      <c r="K73" s="79" t="s">
        <v>91</v>
      </c>
      <c r="L73" s="79" t="s">
        <v>92</v>
      </c>
      <c r="M73" s="79" t="s">
        <v>51</v>
      </c>
      <c r="N73" s="79">
        <v>1000</v>
      </c>
      <c r="O73" s="81">
        <v>195.87</v>
      </c>
      <c r="P73" s="81">
        <f t="shared" si="0"/>
        <v>195870</v>
      </c>
      <c r="Q73" s="79">
        <v>30</v>
      </c>
      <c r="R73" s="79">
        <v>33</v>
      </c>
      <c r="S73" s="79">
        <f t="shared" si="2"/>
        <v>3</v>
      </c>
      <c r="T73" s="79" t="str">
        <f t="shared" si="1"/>
        <v>No</v>
      </c>
      <c r="U73" s="79">
        <v>63</v>
      </c>
      <c r="V73" s="79">
        <v>418</v>
      </c>
      <c r="W73" s="79">
        <v>399</v>
      </c>
      <c r="X73" s="79">
        <v>2.5</v>
      </c>
      <c r="Y73" s="79">
        <v>4</v>
      </c>
      <c r="Z73" s="81">
        <v>146.78</v>
      </c>
      <c r="AA73" s="81">
        <v>5071</v>
      </c>
      <c r="AB73" s="82">
        <v>0.86</v>
      </c>
    </row>
    <row r="74" spans="1:28" ht="15.75" customHeight="1" x14ac:dyDescent="0.3">
      <c r="A74" s="79" t="s">
        <v>249</v>
      </c>
      <c r="B74" s="80">
        <v>45100</v>
      </c>
      <c r="C74" s="79" t="s">
        <v>111</v>
      </c>
      <c r="D74" s="79" t="s">
        <v>112</v>
      </c>
      <c r="E74" s="79" t="s">
        <v>87</v>
      </c>
      <c r="F74" s="79" t="s">
        <v>55</v>
      </c>
      <c r="G74" s="79" t="s">
        <v>135</v>
      </c>
      <c r="H74" s="79" t="s">
        <v>136</v>
      </c>
      <c r="I74" s="79" t="s">
        <v>137</v>
      </c>
      <c r="J74" s="79" t="s">
        <v>138</v>
      </c>
      <c r="K74" s="79" t="s">
        <v>81</v>
      </c>
      <c r="L74" s="79" t="s">
        <v>82</v>
      </c>
      <c r="M74" s="79" t="s">
        <v>83</v>
      </c>
      <c r="N74" s="79">
        <v>394</v>
      </c>
      <c r="O74" s="81">
        <v>951.27</v>
      </c>
      <c r="P74" s="81">
        <f t="shared" si="0"/>
        <v>374800.38</v>
      </c>
      <c r="Q74" s="79">
        <v>13</v>
      </c>
      <c r="R74" s="79">
        <v>25</v>
      </c>
      <c r="S74" s="79">
        <f t="shared" si="2"/>
        <v>12</v>
      </c>
      <c r="T74" s="79" t="str">
        <f t="shared" si="1"/>
        <v>No</v>
      </c>
      <c r="U74" s="79">
        <v>219</v>
      </c>
      <c r="V74" s="79">
        <v>399</v>
      </c>
      <c r="W74" s="79">
        <v>332</v>
      </c>
      <c r="X74" s="79">
        <v>4</v>
      </c>
      <c r="Y74" s="79">
        <v>6</v>
      </c>
      <c r="Z74" s="81">
        <v>591.33000000000004</v>
      </c>
      <c r="AA74" s="81">
        <v>7349</v>
      </c>
      <c r="AB74" s="82">
        <v>0.71</v>
      </c>
    </row>
    <row r="75" spans="1:28" ht="15.75" customHeight="1" x14ac:dyDescent="0.3">
      <c r="A75" s="79" t="s">
        <v>250</v>
      </c>
      <c r="B75" s="80">
        <v>45102</v>
      </c>
      <c r="C75" s="79" t="s">
        <v>64</v>
      </c>
      <c r="D75" s="79" t="s">
        <v>65</v>
      </c>
      <c r="E75" s="79" t="s">
        <v>43</v>
      </c>
      <c r="F75" s="79" t="s">
        <v>113</v>
      </c>
      <c r="G75" s="79" t="s">
        <v>251</v>
      </c>
      <c r="H75" s="79" t="s">
        <v>252</v>
      </c>
      <c r="I75" s="79" t="s">
        <v>137</v>
      </c>
      <c r="J75" s="79" t="s">
        <v>138</v>
      </c>
      <c r="K75" s="79" t="s">
        <v>60</v>
      </c>
      <c r="L75" s="79" t="s">
        <v>61</v>
      </c>
      <c r="M75" s="79" t="s">
        <v>62</v>
      </c>
      <c r="N75" s="79">
        <v>670</v>
      </c>
      <c r="O75" s="81">
        <v>493.24</v>
      </c>
      <c r="P75" s="81">
        <f t="shared" si="0"/>
        <v>330470.8</v>
      </c>
      <c r="Q75" s="79">
        <v>23</v>
      </c>
      <c r="R75" s="79">
        <v>30</v>
      </c>
      <c r="S75" s="79">
        <f t="shared" si="2"/>
        <v>7</v>
      </c>
      <c r="T75" s="79" t="str">
        <f t="shared" si="1"/>
        <v>No</v>
      </c>
      <c r="U75" s="79">
        <v>194</v>
      </c>
      <c r="V75" s="79">
        <v>385</v>
      </c>
      <c r="W75" s="79">
        <v>550</v>
      </c>
      <c r="X75" s="79">
        <v>3</v>
      </c>
      <c r="Y75" s="79">
        <v>5</v>
      </c>
      <c r="Z75" s="81">
        <v>364.24</v>
      </c>
      <c r="AA75" s="81">
        <v>5143</v>
      </c>
      <c r="AB75" s="82">
        <v>0.83</v>
      </c>
    </row>
    <row r="76" spans="1:28" ht="15.75" customHeight="1" x14ac:dyDescent="0.3">
      <c r="A76" s="71" t="s">
        <v>253</v>
      </c>
      <c r="B76" s="72">
        <v>45106</v>
      </c>
      <c r="C76" s="71" t="s">
        <v>85</v>
      </c>
      <c r="D76" s="71" t="s">
        <v>86</v>
      </c>
      <c r="E76" s="71" t="s">
        <v>87</v>
      </c>
      <c r="F76" s="71" t="s">
        <v>113</v>
      </c>
      <c r="G76" s="71" t="s">
        <v>101</v>
      </c>
      <c r="H76" s="71" t="s">
        <v>102</v>
      </c>
      <c r="I76" s="71" t="s">
        <v>69</v>
      </c>
      <c r="J76" s="71" t="s">
        <v>103</v>
      </c>
      <c r="K76" s="71" t="s">
        <v>81</v>
      </c>
      <c r="L76" s="71" t="s">
        <v>82</v>
      </c>
      <c r="M76" s="71" t="s">
        <v>83</v>
      </c>
      <c r="N76" s="71">
        <v>522</v>
      </c>
      <c r="O76" s="73">
        <v>332.7</v>
      </c>
      <c r="P76" s="73">
        <f t="shared" si="0"/>
        <v>173669.4</v>
      </c>
      <c r="Q76" s="71">
        <v>26</v>
      </c>
      <c r="R76" s="71">
        <v>28</v>
      </c>
      <c r="S76" s="71">
        <f t="shared" si="2"/>
        <v>2</v>
      </c>
      <c r="T76" s="71" t="str">
        <f t="shared" si="1"/>
        <v>No</v>
      </c>
      <c r="U76" s="71">
        <v>1646</v>
      </c>
      <c r="V76" s="71">
        <v>696</v>
      </c>
      <c r="W76" s="71">
        <v>577</v>
      </c>
      <c r="X76" s="71">
        <v>2</v>
      </c>
      <c r="Y76" s="71">
        <v>4</v>
      </c>
      <c r="Z76" s="73">
        <v>200.87</v>
      </c>
      <c r="AA76" s="73">
        <v>1137</v>
      </c>
      <c r="AB76" s="74">
        <v>0.94</v>
      </c>
    </row>
    <row r="77" spans="1:28" ht="15.75" customHeight="1" x14ac:dyDescent="0.3">
      <c r="A77" s="79" t="s">
        <v>254</v>
      </c>
      <c r="B77" s="80">
        <v>45106</v>
      </c>
      <c r="C77" s="79" t="s">
        <v>241</v>
      </c>
      <c r="D77" s="79" t="s">
        <v>242</v>
      </c>
      <c r="E77" s="79" t="s">
        <v>100</v>
      </c>
      <c r="F77" s="79" t="s">
        <v>66</v>
      </c>
      <c r="G77" s="79" t="s">
        <v>78</v>
      </c>
      <c r="H77" s="79" t="s">
        <v>79</v>
      </c>
      <c r="I77" s="79" t="s">
        <v>69</v>
      </c>
      <c r="J77" s="79" t="s">
        <v>80</v>
      </c>
      <c r="K77" s="79" t="s">
        <v>108</v>
      </c>
      <c r="L77" s="79" t="s">
        <v>109</v>
      </c>
      <c r="M77" s="79" t="s">
        <v>62</v>
      </c>
      <c r="N77" s="79">
        <v>866</v>
      </c>
      <c r="O77" s="81">
        <v>1498.87</v>
      </c>
      <c r="P77" s="81">
        <f t="shared" si="0"/>
        <v>1298021.42</v>
      </c>
      <c r="Q77" s="79">
        <v>20</v>
      </c>
      <c r="R77" s="79">
        <v>24</v>
      </c>
      <c r="S77" s="79">
        <f t="shared" si="2"/>
        <v>4</v>
      </c>
      <c r="T77" s="79" t="str">
        <f t="shared" si="1"/>
        <v>No</v>
      </c>
      <c r="U77" s="79">
        <v>173</v>
      </c>
      <c r="V77" s="79">
        <v>269</v>
      </c>
      <c r="W77" s="79">
        <v>322</v>
      </c>
      <c r="X77" s="79">
        <v>5</v>
      </c>
      <c r="Y77" s="79">
        <v>7</v>
      </c>
      <c r="Z77" s="81">
        <v>931.49</v>
      </c>
      <c r="AA77" s="81">
        <v>3244</v>
      </c>
      <c r="AB77" s="82">
        <v>0.78</v>
      </c>
    </row>
    <row r="78" spans="1:28" ht="15.75" customHeight="1" x14ac:dyDescent="0.3">
      <c r="A78" s="71" t="s">
        <v>255</v>
      </c>
      <c r="B78" s="72">
        <v>45110</v>
      </c>
      <c r="C78" s="71" t="s">
        <v>111</v>
      </c>
      <c r="D78" s="71" t="s">
        <v>112</v>
      </c>
      <c r="E78" s="71" t="s">
        <v>87</v>
      </c>
      <c r="F78" s="71" t="s">
        <v>128</v>
      </c>
      <c r="G78" s="71" t="s">
        <v>158</v>
      </c>
      <c r="H78" s="71" t="s">
        <v>159</v>
      </c>
      <c r="I78" s="71" t="s">
        <v>69</v>
      </c>
      <c r="J78" s="71" t="s">
        <v>70</v>
      </c>
      <c r="K78" s="71" t="s">
        <v>81</v>
      </c>
      <c r="L78" s="71" t="s">
        <v>82</v>
      </c>
      <c r="M78" s="71" t="s">
        <v>83</v>
      </c>
      <c r="N78" s="71">
        <v>256</v>
      </c>
      <c r="O78" s="73">
        <v>805.79</v>
      </c>
      <c r="P78" s="73">
        <f t="shared" si="0"/>
        <v>206282.23999999999</v>
      </c>
      <c r="Q78" s="71">
        <v>21</v>
      </c>
      <c r="R78" s="71">
        <v>23</v>
      </c>
      <c r="S78" s="71">
        <f t="shared" si="2"/>
        <v>2</v>
      </c>
      <c r="T78" s="71" t="str">
        <f t="shared" si="1"/>
        <v>No</v>
      </c>
      <c r="U78" s="71">
        <v>1471</v>
      </c>
      <c r="V78" s="71">
        <v>158</v>
      </c>
      <c r="W78" s="71">
        <v>170</v>
      </c>
      <c r="X78" s="71">
        <v>4</v>
      </c>
      <c r="Y78" s="71">
        <v>6</v>
      </c>
      <c r="Z78" s="73">
        <v>543.59</v>
      </c>
      <c r="AA78" s="73">
        <v>3826</v>
      </c>
      <c r="AB78" s="74">
        <v>0.83</v>
      </c>
    </row>
    <row r="79" spans="1:28" ht="15.75" customHeight="1" x14ac:dyDescent="0.3">
      <c r="A79" s="71" t="s">
        <v>256</v>
      </c>
      <c r="B79" s="72">
        <v>45114</v>
      </c>
      <c r="C79" s="71" t="s">
        <v>125</v>
      </c>
      <c r="D79" s="71" t="s">
        <v>126</v>
      </c>
      <c r="E79" s="71" t="s">
        <v>127</v>
      </c>
      <c r="F79" s="71" t="s">
        <v>128</v>
      </c>
      <c r="G79" s="71" t="s">
        <v>212</v>
      </c>
      <c r="H79" s="71" t="s">
        <v>213</v>
      </c>
      <c r="I79" s="71" t="s">
        <v>214</v>
      </c>
      <c r="J79" s="71" t="s">
        <v>138</v>
      </c>
      <c r="K79" s="71" t="s">
        <v>91</v>
      </c>
      <c r="L79" s="71" t="s">
        <v>92</v>
      </c>
      <c r="M79" s="71" t="s">
        <v>51</v>
      </c>
      <c r="N79" s="71">
        <v>238</v>
      </c>
      <c r="O79" s="73">
        <v>3475.37</v>
      </c>
      <c r="P79" s="73">
        <f t="shared" si="0"/>
        <v>827138.05999999994</v>
      </c>
      <c r="Q79" s="71">
        <v>14</v>
      </c>
      <c r="R79" s="71">
        <v>18</v>
      </c>
      <c r="S79" s="71">
        <f t="shared" si="2"/>
        <v>4</v>
      </c>
      <c r="T79" s="71" t="str">
        <f t="shared" si="1"/>
        <v>No</v>
      </c>
      <c r="U79" s="71">
        <v>1377</v>
      </c>
      <c r="V79" s="71">
        <v>177</v>
      </c>
      <c r="W79" s="71">
        <v>214</v>
      </c>
      <c r="X79" s="71">
        <v>11</v>
      </c>
      <c r="Y79" s="71">
        <v>15</v>
      </c>
      <c r="Z79" s="73">
        <v>2407.5700000000002</v>
      </c>
      <c r="AA79" s="73">
        <v>1464</v>
      </c>
      <c r="AB79" s="74">
        <v>0.83</v>
      </c>
    </row>
    <row r="80" spans="1:28" ht="15.75" customHeight="1" x14ac:dyDescent="0.3">
      <c r="A80" s="79" t="s">
        <v>257</v>
      </c>
      <c r="B80" s="80">
        <v>45115</v>
      </c>
      <c r="C80" s="79" t="s">
        <v>161</v>
      </c>
      <c r="D80" s="79" t="s">
        <v>162</v>
      </c>
      <c r="E80" s="79" t="s">
        <v>77</v>
      </c>
      <c r="F80" s="79" t="s">
        <v>44</v>
      </c>
      <c r="G80" s="79" t="s">
        <v>122</v>
      </c>
      <c r="H80" s="79" t="s">
        <v>123</v>
      </c>
      <c r="I80" s="79" t="s">
        <v>69</v>
      </c>
      <c r="J80" s="79" t="s">
        <v>80</v>
      </c>
      <c r="K80" s="79" t="s">
        <v>60</v>
      </c>
      <c r="L80" s="79" t="s">
        <v>61</v>
      </c>
      <c r="M80" s="79" t="s">
        <v>62</v>
      </c>
      <c r="N80" s="79">
        <v>208</v>
      </c>
      <c r="O80" s="81">
        <v>41.79</v>
      </c>
      <c r="P80" s="81">
        <f t="shared" si="0"/>
        <v>8692.32</v>
      </c>
      <c r="Q80" s="79">
        <v>26</v>
      </c>
      <c r="R80" s="79">
        <v>33</v>
      </c>
      <c r="S80" s="79">
        <f t="shared" si="2"/>
        <v>7</v>
      </c>
      <c r="T80" s="79" t="str">
        <f t="shared" si="1"/>
        <v>No</v>
      </c>
      <c r="U80" s="79">
        <v>242</v>
      </c>
      <c r="V80" s="79">
        <v>274</v>
      </c>
      <c r="W80" s="79">
        <v>398</v>
      </c>
      <c r="X80" s="79">
        <v>1.5</v>
      </c>
      <c r="Y80" s="79">
        <v>2</v>
      </c>
      <c r="Z80" s="81">
        <v>33.380000000000003</v>
      </c>
      <c r="AA80" s="81">
        <v>4278</v>
      </c>
      <c r="AB80" s="82">
        <v>0.88</v>
      </c>
    </row>
    <row r="81" spans="1:28" ht="15.75" customHeight="1" x14ac:dyDescent="0.3">
      <c r="A81" s="71" t="s">
        <v>258</v>
      </c>
      <c r="B81" s="72">
        <v>45118</v>
      </c>
      <c r="C81" s="71" t="s">
        <v>241</v>
      </c>
      <c r="D81" s="71" t="s">
        <v>242</v>
      </c>
      <c r="E81" s="71" t="s">
        <v>100</v>
      </c>
      <c r="F81" s="71" t="s">
        <v>113</v>
      </c>
      <c r="G81" s="71" t="s">
        <v>101</v>
      </c>
      <c r="H81" s="71" t="s">
        <v>102</v>
      </c>
      <c r="I81" s="71" t="s">
        <v>69</v>
      </c>
      <c r="J81" s="71" t="s">
        <v>103</v>
      </c>
      <c r="K81" s="71" t="s">
        <v>189</v>
      </c>
      <c r="L81" s="71" t="s">
        <v>190</v>
      </c>
      <c r="M81" s="71" t="s">
        <v>73</v>
      </c>
      <c r="N81" s="71">
        <v>534</v>
      </c>
      <c r="O81" s="73">
        <v>1503.02</v>
      </c>
      <c r="P81" s="73">
        <f t="shared" si="0"/>
        <v>802612.67999999993</v>
      </c>
      <c r="Q81" s="71">
        <v>5</v>
      </c>
      <c r="R81" s="71">
        <v>4</v>
      </c>
      <c r="S81" s="71">
        <f t="shared" si="2"/>
        <v>0</v>
      </c>
      <c r="T81" s="71" t="str">
        <f t="shared" si="1"/>
        <v>Yes</v>
      </c>
      <c r="U81" s="71">
        <v>1469</v>
      </c>
      <c r="V81" s="71">
        <v>515</v>
      </c>
      <c r="W81" s="71">
        <v>627</v>
      </c>
      <c r="X81" s="71">
        <v>5</v>
      </c>
      <c r="Y81" s="71">
        <v>7</v>
      </c>
      <c r="Z81" s="73">
        <v>1137.6099999999999</v>
      </c>
      <c r="AA81" s="73">
        <v>7575</v>
      </c>
      <c r="AB81" s="74">
        <v>0.81</v>
      </c>
    </row>
    <row r="82" spans="1:28" ht="15.75" customHeight="1" x14ac:dyDescent="0.3">
      <c r="A82" s="71" t="s">
        <v>259</v>
      </c>
      <c r="B82" s="72">
        <v>45122</v>
      </c>
      <c r="C82" s="71" t="s">
        <v>234</v>
      </c>
      <c r="D82" s="71" t="s">
        <v>235</v>
      </c>
      <c r="E82" s="71" t="s">
        <v>43</v>
      </c>
      <c r="F82" s="71" t="s">
        <v>55</v>
      </c>
      <c r="G82" s="71" t="s">
        <v>45</v>
      </c>
      <c r="H82" s="71" t="s">
        <v>46</v>
      </c>
      <c r="I82" s="71" t="s">
        <v>47</v>
      </c>
      <c r="J82" s="71" t="s">
        <v>48</v>
      </c>
      <c r="K82" s="71" t="s">
        <v>49</v>
      </c>
      <c r="L82" s="71" t="s">
        <v>50</v>
      </c>
      <c r="M82" s="71" t="s">
        <v>51</v>
      </c>
      <c r="N82" s="71">
        <v>627</v>
      </c>
      <c r="O82" s="73">
        <v>1091.8599999999999</v>
      </c>
      <c r="P82" s="73">
        <f t="shared" si="0"/>
        <v>684596.22</v>
      </c>
      <c r="Q82" s="71">
        <v>7</v>
      </c>
      <c r="R82" s="71">
        <v>8</v>
      </c>
      <c r="S82" s="71">
        <f t="shared" si="2"/>
        <v>1</v>
      </c>
      <c r="T82" s="71" t="str">
        <f t="shared" si="1"/>
        <v>No</v>
      </c>
      <c r="U82" s="71">
        <v>2426</v>
      </c>
      <c r="V82" s="71">
        <v>733</v>
      </c>
      <c r="W82" s="71">
        <v>873</v>
      </c>
      <c r="X82" s="71">
        <v>5</v>
      </c>
      <c r="Y82" s="71">
        <v>8</v>
      </c>
      <c r="Z82" s="73">
        <v>759.81</v>
      </c>
      <c r="AA82" s="73">
        <v>7622</v>
      </c>
      <c r="AB82" s="74">
        <v>0.95</v>
      </c>
    </row>
    <row r="83" spans="1:28" ht="15.75" customHeight="1" x14ac:dyDescent="0.3">
      <c r="A83" s="79" t="s">
        <v>260</v>
      </c>
      <c r="B83" s="80">
        <v>45123</v>
      </c>
      <c r="C83" s="79" t="s">
        <v>169</v>
      </c>
      <c r="D83" s="79" t="s">
        <v>170</v>
      </c>
      <c r="E83" s="79" t="s">
        <v>100</v>
      </c>
      <c r="F83" s="79" t="s">
        <v>44</v>
      </c>
      <c r="G83" s="79" t="s">
        <v>178</v>
      </c>
      <c r="H83" s="79" t="s">
        <v>179</v>
      </c>
      <c r="I83" s="79" t="s">
        <v>58</v>
      </c>
      <c r="J83" s="79" t="s">
        <v>59</v>
      </c>
      <c r="K83" s="79" t="s">
        <v>108</v>
      </c>
      <c r="L83" s="79" t="s">
        <v>109</v>
      </c>
      <c r="M83" s="79" t="s">
        <v>62</v>
      </c>
      <c r="N83" s="79">
        <v>442</v>
      </c>
      <c r="O83" s="81">
        <v>6431.93</v>
      </c>
      <c r="P83" s="81">
        <f t="shared" si="0"/>
        <v>2842913.06</v>
      </c>
      <c r="Q83" s="79">
        <v>19</v>
      </c>
      <c r="R83" s="79">
        <v>20</v>
      </c>
      <c r="S83" s="79">
        <f t="shared" si="2"/>
        <v>1</v>
      </c>
      <c r="T83" s="79" t="str">
        <f t="shared" si="1"/>
        <v>No</v>
      </c>
      <c r="U83" s="79">
        <v>328</v>
      </c>
      <c r="V83" s="79">
        <v>367</v>
      </c>
      <c r="W83" s="79">
        <v>514</v>
      </c>
      <c r="X83" s="79">
        <v>15</v>
      </c>
      <c r="Y83" s="79">
        <v>20</v>
      </c>
      <c r="Z83" s="81">
        <v>4567.09</v>
      </c>
      <c r="AA83" s="81">
        <v>914</v>
      </c>
      <c r="AB83" s="82">
        <v>0.88</v>
      </c>
    </row>
    <row r="84" spans="1:28" ht="15.75" customHeight="1" x14ac:dyDescent="0.3">
      <c r="A84" s="71" t="s">
        <v>261</v>
      </c>
      <c r="B84" s="72">
        <v>45125</v>
      </c>
      <c r="C84" s="71" t="s">
        <v>53</v>
      </c>
      <c r="D84" s="71" t="s">
        <v>54</v>
      </c>
      <c r="E84" s="71" t="s">
        <v>43</v>
      </c>
      <c r="F84" s="71" t="s">
        <v>44</v>
      </c>
      <c r="G84" s="71" t="s">
        <v>178</v>
      </c>
      <c r="H84" s="71" t="s">
        <v>179</v>
      </c>
      <c r="I84" s="71" t="s">
        <v>58</v>
      </c>
      <c r="J84" s="71" t="s">
        <v>59</v>
      </c>
      <c r="K84" s="71" t="s">
        <v>60</v>
      </c>
      <c r="L84" s="71" t="s">
        <v>61</v>
      </c>
      <c r="M84" s="71" t="s">
        <v>62</v>
      </c>
      <c r="N84" s="71">
        <v>797</v>
      </c>
      <c r="O84" s="73">
        <v>630.79</v>
      </c>
      <c r="P84" s="73">
        <f t="shared" si="0"/>
        <v>502739.62999999995</v>
      </c>
      <c r="Q84" s="71">
        <v>17</v>
      </c>
      <c r="R84" s="71">
        <v>23</v>
      </c>
      <c r="S84" s="71">
        <f t="shared" si="2"/>
        <v>6</v>
      </c>
      <c r="T84" s="71" t="str">
        <f t="shared" si="1"/>
        <v>No</v>
      </c>
      <c r="U84" s="71">
        <v>2180</v>
      </c>
      <c r="V84" s="71">
        <v>639</v>
      </c>
      <c r="W84" s="71">
        <v>583</v>
      </c>
      <c r="X84" s="71">
        <v>3.5</v>
      </c>
      <c r="Y84" s="71">
        <v>5</v>
      </c>
      <c r="Z84" s="73">
        <v>403.67</v>
      </c>
      <c r="AA84" s="73">
        <v>5453</v>
      </c>
      <c r="AB84" s="74">
        <v>0.74</v>
      </c>
    </row>
    <row r="85" spans="1:28" ht="15.75" customHeight="1" x14ac:dyDescent="0.3">
      <c r="A85" s="79" t="s">
        <v>262</v>
      </c>
      <c r="B85" s="80">
        <v>45125</v>
      </c>
      <c r="C85" s="79" t="s">
        <v>125</v>
      </c>
      <c r="D85" s="79" t="s">
        <v>126</v>
      </c>
      <c r="E85" s="79" t="s">
        <v>127</v>
      </c>
      <c r="F85" s="79" t="s">
        <v>113</v>
      </c>
      <c r="G85" s="79" t="s">
        <v>178</v>
      </c>
      <c r="H85" s="79" t="s">
        <v>179</v>
      </c>
      <c r="I85" s="79" t="s">
        <v>58</v>
      </c>
      <c r="J85" s="79" t="s">
        <v>59</v>
      </c>
      <c r="K85" s="79" t="s">
        <v>91</v>
      </c>
      <c r="L85" s="79" t="s">
        <v>92</v>
      </c>
      <c r="M85" s="79" t="s">
        <v>51</v>
      </c>
      <c r="N85" s="79">
        <v>641</v>
      </c>
      <c r="O85" s="81">
        <v>3407.54</v>
      </c>
      <c r="P85" s="81">
        <f t="shared" si="0"/>
        <v>2184233.14</v>
      </c>
      <c r="Q85" s="79">
        <v>27</v>
      </c>
      <c r="R85" s="79">
        <v>34</v>
      </c>
      <c r="S85" s="79">
        <f t="shared" si="2"/>
        <v>7</v>
      </c>
      <c r="T85" s="79" t="str">
        <f t="shared" si="1"/>
        <v>No</v>
      </c>
      <c r="U85" s="79">
        <v>644</v>
      </c>
      <c r="V85" s="79">
        <v>627</v>
      </c>
      <c r="W85" s="79">
        <v>661</v>
      </c>
      <c r="X85" s="79">
        <v>11</v>
      </c>
      <c r="Y85" s="79">
        <v>15</v>
      </c>
      <c r="Z85" s="81">
        <v>2260.11</v>
      </c>
      <c r="AA85" s="81">
        <v>4008</v>
      </c>
      <c r="AB85" s="82">
        <v>0.75</v>
      </c>
    </row>
    <row r="86" spans="1:28" ht="15.75" customHeight="1" x14ac:dyDescent="0.3">
      <c r="A86" s="79" t="s">
        <v>263</v>
      </c>
      <c r="B86" s="80">
        <v>45128</v>
      </c>
      <c r="C86" s="79" t="s">
        <v>169</v>
      </c>
      <c r="D86" s="79" t="s">
        <v>170</v>
      </c>
      <c r="E86" s="79" t="s">
        <v>100</v>
      </c>
      <c r="F86" s="79" t="s">
        <v>55</v>
      </c>
      <c r="G86" s="79" t="s">
        <v>178</v>
      </c>
      <c r="H86" s="79" t="s">
        <v>179</v>
      </c>
      <c r="I86" s="79" t="s">
        <v>58</v>
      </c>
      <c r="J86" s="79" t="s">
        <v>59</v>
      </c>
      <c r="K86" s="79" t="s">
        <v>108</v>
      </c>
      <c r="L86" s="79" t="s">
        <v>109</v>
      </c>
      <c r="M86" s="79" t="s">
        <v>62</v>
      </c>
      <c r="N86" s="79">
        <v>709</v>
      </c>
      <c r="O86" s="81">
        <v>6246.6</v>
      </c>
      <c r="P86" s="81">
        <f t="shared" si="0"/>
        <v>4428839.4000000004</v>
      </c>
      <c r="Q86" s="79">
        <v>10</v>
      </c>
      <c r="R86" s="79">
        <v>16</v>
      </c>
      <c r="S86" s="79">
        <f t="shared" si="2"/>
        <v>6</v>
      </c>
      <c r="T86" s="79" t="str">
        <f t="shared" si="1"/>
        <v>No</v>
      </c>
      <c r="U86" s="79">
        <v>508</v>
      </c>
      <c r="V86" s="79">
        <v>533</v>
      </c>
      <c r="W86" s="79">
        <v>586</v>
      </c>
      <c r="X86" s="79">
        <v>15</v>
      </c>
      <c r="Y86" s="79">
        <v>20</v>
      </c>
      <c r="Z86" s="81">
        <v>4443.33</v>
      </c>
      <c r="AA86" s="81">
        <v>1565</v>
      </c>
      <c r="AB86" s="82">
        <v>0.75</v>
      </c>
    </row>
    <row r="87" spans="1:28" ht="15.75" customHeight="1" x14ac:dyDescent="0.3">
      <c r="A87" s="71" t="s">
        <v>264</v>
      </c>
      <c r="B87" s="72">
        <v>45129</v>
      </c>
      <c r="C87" s="71" t="s">
        <v>133</v>
      </c>
      <c r="D87" s="71" t="s">
        <v>134</v>
      </c>
      <c r="E87" s="71" t="s">
        <v>100</v>
      </c>
      <c r="F87" s="71" t="s">
        <v>44</v>
      </c>
      <c r="G87" s="71" t="s">
        <v>265</v>
      </c>
      <c r="H87" s="71" t="s">
        <v>266</v>
      </c>
      <c r="I87" s="71" t="s">
        <v>69</v>
      </c>
      <c r="J87" s="71" t="s">
        <v>70</v>
      </c>
      <c r="K87" s="71" t="s">
        <v>189</v>
      </c>
      <c r="L87" s="71" t="s">
        <v>190</v>
      </c>
      <c r="M87" s="71" t="s">
        <v>73</v>
      </c>
      <c r="N87" s="71">
        <v>87</v>
      </c>
      <c r="O87" s="73">
        <v>1983</v>
      </c>
      <c r="P87" s="73">
        <f t="shared" si="0"/>
        <v>172521</v>
      </c>
      <c r="Q87" s="71">
        <v>29</v>
      </c>
      <c r="R87" s="71">
        <v>37</v>
      </c>
      <c r="S87" s="71">
        <f t="shared" si="2"/>
        <v>8</v>
      </c>
      <c r="T87" s="71" t="str">
        <f t="shared" si="1"/>
        <v>No</v>
      </c>
      <c r="U87" s="71">
        <v>2043</v>
      </c>
      <c r="V87" s="71">
        <v>74</v>
      </c>
      <c r="W87" s="71">
        <v>88</v>
      </c>
      <c r="X87" s="71">
        <v>8</v>
      </c>
      <c r="Y87" s="71">
        <v>12</v>
      </c>
      <c r="Z87" s="73">
        <v>1419.62</v>
      </c>
      <c r="AA87" s="73">
        <v>6079</v>
      </c>
      <c r="AB87" s="74">
        <v>0.96</v>
      </c>
    </row>
    <row r="88" spans="1:28" ht="15.75" customHeight="1" x14ac:dyDescent="0.3">
      <c r="A88" s="71" t="s">
        <v>267</v>
      </c>
      <c r="B88" s="72">
        <v>45131</v>
      </c>
      <c r="C88" s="71" t="s">
        <v>98</v>
      </c>
      <c r="D88" s="71" t="s">
        <v>99</v>
      </c>
      <c r="E88" s="71" t="s">
        <v>100</v>
      </c>
      <c r="F88" s="71" t="s">
        <v>44</v>
      </c>
      <c r="G88" s="71" t="s">
        <v>265</v>
      </c>
      <c r="H88" s="71" t="s">
        <v>266</v>
      </c>
      <c r="I88" s="71" t="s">
        <v>69</v>
      </c>
      <c r="J88" s="71" t="s">
        <v>70</v>
      </c>
      <c r="K88" s="71" t="s">
        <v>108</v>
      </c>
      <c r="L88" s="71" t="s">
        <v>109</v>
      </c>
      <c r="M88" s="71" t="s">
        <v>62</v>
      </c>
      <c r="N88" s="71">
        <v>139</v>
      </c>
      <c r="O88" s="73">
        <v>8656.32</v>
      </c>
      <c r="P88" s="73">
        <f t="shared" si="0"/>
        <v>1203228.48</v>
      </c>
      <c r="Q88" s="71">
        <v>8</v>
      </c>
      <c r="R88" s="71">
        <v>15</v>
      </c>
      <c r="S88" s="71">
        <f t="shared" si="2"/>
        <v>7</v>
      </c>
      <c r="T88" s="71" t="str">
        <f t="shared" si="1"/>
        <v>No</v>
      </c>
      <c r="U88" s="71">
        <v>912</v>
      </c>
      <c r="V88" s="71">
        <v>119</v>
      </c>
      <c r="W88" s="71">
        <v>116</v>
      </c>
      <c r="X88" s="71">
        <v>18</v>
      </c>
      <c r="Y88" s="71">
        <v>25</v>
      </c>
      <c r="Z88" s="73">
        <v>5832.45</v>
      </c>
      <c r="AA88" s="73">
        <v>5463</v>
      </c>
      <c r="AB88" s="74">
        <v>0.87</v>
      </c>
    </row>
    <row r="89" spans="1:28" ht="15.75" customHeight="1" x14ac:dyDescent="0.3">
      <c r="A89" s="75" t="s">
        <v>268</v>
      </c>
      <c r="B89" s="76">
        <v>45131</v>
      </c>
      <c r="C89" s="75" t="s">
        <v>111</v>
      </c>
      <c r="D89" s="75" t="s">
        <v>112</v>
      </c>
      <c r="E89" s="75" t="s">
        <v>87</v>
      </c>
      <c r="F89" s="75" t="s">
        <v>128</v>
      </c>
      <c r="G89" s="75" t="s">
        <v>236</v>
      </c>
      <c r="H89" s="75" t="s">
        <v>237</v>
      </c>
      <c r="I89" s="75" t="s">
        <v>47</v>
      </c>
      <c r="J89" s="75" t="s">
        <v>48</v>
      </c>
      <c r="K89" s="75" t="s">
        <v>81</v>
      </c>
      <c r="L89" s="75" t="s">
        <v>82</v>
      </c>
      <c r="M89" s="75" t="s">
        <v>83</v>
      </c>
      <c r="N89" s="75">
        <v>663</v>
      </c>
      <c r="O89" s="77">
        <v>827.01</v>
      </c>
      <c r="P89" s="77">
        <f t="shared" si="0"/>
        <v>548307.63</v>
      </c>
      <c r="Q89" s="75">
        <v>7</v>
      </c>
      <c r="R89" s="75">
        <v>12</v>
      </c>
      <c r="S89" s="75">
        <f t="shared" si="2"/>
        <v>5</v>
      </c>
      <c r="T89" s="75" t="str">
        <f t="shared" si="1"/>
        <v>No</v>
      </c>
      <c r="U89" s="75">
        <v>493</v>
      </c>
      <c r="V89" s="75">
        <v>444</v>
      </c>
      <c r="W89" s="75">
        <v>478</v>
      </c>
      <c r="X89" s="75">
        <v>4</v>
      </c>
      <c r="Y89" s="75">
        <v>6</v>
      </c>
      <c r="Z89" s="77">
        <v>577.1</v>
      </c>
      <c r="AA89" s="77">
        <v>5915</v>
      </c>
      <c r="AB89" s="78">
        <v>0.77</v>
      </c>
    </row>
    <row r="90" spans="1:28" ht="15.75" customHeight="1" x14ac:dyDescent="0.3">
      <c r="A90" s="71" t="s">
        <v>269</v>
      </c>
      <c r="B90" s="72">
        <v>45132</v>
      </c>
      <c r="C90" s="71" t="s">
        <v>125</v>
      </c>
      <c r="D90" s="71" t="s">
        <v>126</v>
      </c>
      <c r="E90" s="71" t="s">
        <v>127</v>
      </c>
      <c r="F90" s="71" t="s">
        <v>113</v>
      </c>
      <c r="G90" s="71" t="s">
        <v>166</v>
      </c>
      <c r="H90" s="71" t="s">
        <v>167</v>
      </c>
      <c r="I90" s="71" t="s">
        <v>69</v>
      </c>
      <c r="J90" s="71" t="s">
        <v>103</v>
      </c>
      <c r="K90" s="71" t="s">
        <v>91</v>
      </c>
      <c r="L90" s="71" t="s">
        <v>92</v>
      </c>
      <c r="M90" s="71" t="s">
        <v>51</v>
      </c>
      <c r="N90" s="71">
        <v>156</v>
      </c>
      <c r="O90" s="73">
        <v>3133.11</v>
      </c>
      <c r="P90" s="73">
        <f t="shared" si="0"/>
        <v>488765.16000000003</v>
      </c>
      <c r="Q90" s="71">
        <v>27</v>
      </c>
      <c r="R90" s="71">
        <v>27</v>
      </c>
      <c r="S90" s="71">
        <f t="shared" si="2"/>
        <v>0</v>
      </c>
      <c r="T90" s="71" t="str">
        <f t="shared" si="1"/>
        <v>Yes</v>
      </c>
      <c r="U90" s="71">
        <v>351</v>
      </c>
      <c r="V90" s="71">
        <v>138</v>
      </c>
      <c r="W90" s="71">
        <v>171</v>
      </c>
      <c r="X90" s="71">
        <v>11</v>
      </c>
      <c r="Y90" s="71">
        <v>15</v>
      </c>
      <c r="Z90" s="73">
        <v>1990.67</v>
      </c>
      <c r="AA90" s="73">
        <v>5697</v>
      </c>
      <c r="AB90" s="74">
        <v>0.72</v>
      </c>
    </row>
    <row r="91" spans="1:28" ht="15.75" customHeight="1" x14ac:dyDescent="0.3">
      <c r="A91" s="71" t="s">
        <v>270</v>
      </c>
      <c r="B91" s="72">
        <v>45132</v>
      </c>
      <c r="C91" s="71" t="s">
        <v>234</v>
      </c>
      <c r="D91" s="71" t="s">
        <v>235</v>
      </c>
      <c r="E91" s="71" t="s">
        <v>43</v>
      </c>
      <c r="F91" s="71" t="s">
        <v>66</v>
      </c>
      <c r="G91" s="71" t="s">
        <v>229</v>
      </c>
      <c r="H91" s="71" t="s">
        <v>230</v>
      </c>
      <c r="I91" s="71" t="s">
        <v>69</v>
      </c>
      <c r="J91" s="71" t="s">
        <v>70</v>
      </c>
      <c r="K91" s="71" t="s">
        <v>60</v>
      </c>
      <c r="L91" s="71" t="s">
        <v>61</v>
      </c>
      <c r="M91" s="71" t="s">
        <v>62</v>
      </c>
      <c r="N91" s="71">
        <v>61</v>
      </c>
      <c r="O91" s="73">
        <v>1355.41</v>
      </c>
      <c r="P91" s="73">
        <f t="shared" si="0"/>
        <v>82680.010000000009</v>
      </c>
      <c r="Q91" s="71">
        <v>27</v>
      </c>
      <c r="R91" s="71">
        <v>28</v>
      </c>
      <c r="S91" s="71">
        <f t="shared" si="2"/>
        <v>1</v>
      </c>
      <c r="T91" s="71" t="str">
        <f t="shared" si="1"/>
        <v>No</v>
      </c>
      <c r="U91" s="71">
        <v>1142</v>
      </c>
      <c r="V91" s="71">
        <v>45</v>
      </c>
      <c r="W91" s="71">
        <v>50</v>
      </c>
      <c r="X91" s="71">
        <v>5</v>
      </c>
      <c r="Y91" s="71">
        <v>8</v>
      </c>
      <c r="Z91" s="73">
        <v>920.85</v>
      </c>
      <c r="AA91" s="73">
        <v>1514</v>
      </c>
      <c r="AB91" s="74">
        <v>0.89</v>
      </c>
    </row>
    <row r="92" spans="1:28" ht="15.75" customHeight="1" x14ac:dyDescent="0.3">
      <c r="A92" s="71" t="s">
        <v>271</v>
      </c>
      <c r="B92" s="72">
        <v>45133</v>
      </c>
      <c r="C92" s="71" t="s">
        <v>234</v>
      </c>
      <c r="D92" s="71" t="s">
        <v>235</v>
      </c>
      <c r="E92" s="71" t="s">
        <v>43</v>
      </c>
      <c r="F92" s="71" t="s">
        <v>66</v>
      </c>
      <c r="G92" s="71" t="s">
        <v>149</v>
      </c>
      <c r="H92" s="71" t="s">
        <v>150</v>
      </c>
      <c r="I92" s="71" t="s">
        <v>58</v>
      </c>
      <c r="J92" s="71" t="s">
        <v>59</v>
      </c>
      <c r="K92" s="71" t="s">
        <v>108</v>
      </c>
      <c r="L92" s="71" t="s">
        <v>109</v>
      </c>
      <c r="M92" s="71" t="s">
        <v>62</v>
      </c>
      <c r="N92" s="71">
        <v>333</v>
      </c>
      <c r="O92" s="73">
        <v>1360.01</v>
      </c>
      <c r="P92" s="73">
        <f t="shared" si="0"/>
        <v>452883.33</v>
      </c>
      <c r="Q92" s="71">
        <v>21</v>
      </c>
      <c r="R92" s="71">
        <v>25</v>
      </c>
      <c r="S92" s="71">
        <f t="shared" si="2"/>
        <v>4</v>
      </c>
      <c r="T92" s="71" t="str">
        <f t="shared" si="1"/>
        <v>No</v>
      </c>
      <c r="U92" s="71">
        <v>2244</v>
      </c>
      <c r="V92" s="71">
        <v>289</v>
      </c>
      <c r="W92" s="71">
        <v>238</v>
      </c>
      <c r="X92" s="71">
        <v>5</v>
      </c>
      <c r="Y92" s="71">
        <v>8</v>
      </c>
      <c r="Z92" s="73">
        <v>991.97</v>
      </c>
      <c r="AA92" s="73">
        <v>2843</v>
      </c>
      <c r="AB92" s="74">
        <v>0.8</v>
      </c>
    </row>
    <row r="93" spans="1:28" ht="15.75" customHeight="1" x14ac:dyDescent="0.3">
      <c r="A93" s="71" t="s">
        <v>272</v>
      </c>
      <c r="B93" s="72">
        <v>45134</v>
      </c>
      <c r="C93" s="71" t="s">
        <v>85</v>
      </c>
      <c r="D93" s="71" t="s">
        <v>86</v>
      </c>
      <c r="E93" s="71" t="s">
        <v>87</v>
      </c>
      <c r="F93" s="71" t="s">
        <v>44</v>
      </c>
      <c r="G93" s="71" t="s">
        <v>152</v>
      </c>
      <c r="H93" s="71" t="s">
        <v>153</v>
      </c>
      <c r="I93" s="71" t="s">
        <v>58</v>
      </c>
      <c r="J93" s="71" t="s">
        <v>59</v>
      </c>
      <c r="K93" s="71" t="s">
        <v>81</v>
      </c>
      <c r="L93" s="71" t="s">
        <v>82</v>
      </c>
      <c r="M93" s="71" t="s">
        <v>83</v>
      </c>
      <c r="N93" s="71">
        <v>118</v>
      </c>
      <c r="O93" s="73">
        <v>301.14999999999998</v>
      </c>
      <c r="P93" s="73">
        <f t="shared" si="0"/>
        <v>35535.699999999997</v>
      </c>
      <c r="Q93" s="71">
        <v>19</v>
      </c>
      <c r="R93" s="71">
        <v>22</v>
      </c>
      <c r="S93" s="71">
        <f t="shared" si="2"/>
        <v>3</v>
      </c>
      <c r="T93" s="71" t="str">
        <f t="shared" si="1"/>
        <v>No</v>
      </c>
      <c r="U93" s="71">
        <v>1685</v>
      </c>
      <c r="V93" s="71">
        <v>52</v>
      </c>
      <c r="W93" s="71">
        <v>54</v>
      </c>
      <c r="X93" s="71">
        <v>2</v>
      </c>
      <c r="Y93" s="71">
        <v>4</v>
      </c>
      <c r="Z93" s="73">
        <v>227.09</v>
      </c>
      <c r="AA93" s="73">
        <v>4202</v>
      </c>
      <c r="AB93" s="74">
        <v>0.79</v>
      </c>
    </row>
    <row r="94" spans="1:28" ht="15.75" customHeight="1" x14ac:dyDescent="0.3">
      <c r="A94" s="71" t="s">
        <v>273</v>
      </c>
      <c r="B94" s="72">
        <v>45135</v>
      </c>
      <c r="C94" s="71" t="s">
        <v>221</v>
      </c>
      <c r="D94" s="71" t="s">
        <v>222</v>
      </c>
      <c r="E94" s="71" t="s">
        <v>77</v>
      </c>
      <c r="F94" s="71" t="s">
        <v>44</v>
      </c>
      <c r="G94" s="71" t="s">
        <v>217</v>
      </c>
      <c r="H94" s="71" t="s">
        <v>218</v>
      </c>
      <c r="I94" s="71" t="s">
        <v>137</v>
      </c>
      <c r="J94" s="71" t="s">
        <v>138</v>
      </c>
      <c r="K94" s="71" t="s">
        <v>60</v>
      </c>
      <c r="L94" s="71" t="s">
        <v>61</v>
      </c>
      <c r="M94" s="71" t="s">
        <v>62</v>
      </c>
      <c r="N94" s="71">
        <v>937</v>
      </c>
      <c r="O94" s="73">
        <v>31.56</v>
      </c>
      <c r="P94" s="73">
        <f t="shared" si="0"/>
        <v>29571.719999999998</v>
      </c>
      <c r="Q94" s="71">
        <v>6</v>
      </c>
      <c r="R94" s="71">
        <v>5</v>
      </c>
      <c r="S94" s="71">
        <f t="shared" si="2"/>
        <v>0</v>
      </c>
      <c r="T94" s="71" t="str">
        <f t="shared" si="1"/>
        <v>Yes</v>
      </c>
      <c r="U94" s="71">
        <v>2618</v>
      </c>
      <c r="V94" s="71">
        <v>757</v>
      </c>
      <c r="W94" s="71">
        <v>752</v>
      </c>
      <c r="X94" s="71">
        <v>1.2</v>
      </c>
      <c r="Y94" s="71">
        <v>2</v>
      </c>
      <c r="Z94" s="73">
        <v>18.96</v>
      </c>
      <c r="AA94" s="73">
        <v>6817</v>
      </c>
      <c r="AB94" s="74">
        <v>0.74</v>
      </c>
    </row>
    <row r="95" spans="1:28" ht="15.75" customHeight="1" x14ac:dyDescent="0.3">
      <c r="A95" s="71" t="s">
        <v>274</v>
      </c>
      <c r="B95" s="72">
        <v>45137</v>
      </c>
      <c r="C95" s="71" t="s">
        <v>41</v>
      </c>
      <c r="D95" s="71" t="s">
        <v>42</v>
      </c>
      <c r="E95" s="71" t="s">
        <v>43</v>
      </c>
      <c r="F95" s="71" t="s">
        <v>113</v>
      </c>
      <c r="G95" s="71" t="s">
        <v>175</v>
      </c>
      <c r="H95" s="71" t="s">
        <v>176</v>
      </c>
      <c r="I95" s="71" t="s">
        <v>58</v>
      </c>
      <c r="J95" s="71" t="s">
        <v>59</v>
      </c>
      <c r="K95" s="71" t="s">
        <v>49</v>
      </c>
      <c r="L95" s="71" t="s">
        <v>50</v>
      </c>
      <c r="M95" s="71" t="s">
        <v>51</v>
      </c>
      <c r="N95" s="71">
        <v>466</v>
      </c>
      <c r="O95" s="73">
        <v>13777.16</v>
      </c>
      <c r="P95" s="73">
        <f t="shared" si="0"/>
        <v>6420156.5599999996</v>
      </c>
      <c r="Q95" s="71">
        <v>19</v>
      </c>
      <c r="R95" s="71">
        <v>19</v>
      </c>
      <c r="S95" s="71">
        <f t="shared" si="2"/>
        <v>0</v>
      </c>
      <c r="T95" s="71" t="str">
        <f t="shared" si="1"/>
        <v>Yes</v>
      </c>
      <c r="U95" s="71">
        <v>2122</v>
      </c>
      <c r="V95" s="71">
        <v>372</v>
      </c>
      <c r="W95" s="71">
        <v>444</v>
      </c>
      <c r="X95" s="71">
        <v>25</v>
      </c>
      <c r="Y95" s="71">
        <v>35</v>
      </c>
      <c r="Z95" s="73">
        <v>9806.0300000000007</v>
      </c>
      <c r="AA95" s="73">
        <v>6011</v>
      </c>
      <c r="AB95" s="74">
        <v>0.93</v>
      </c>
    </row>
    <row r="96" spans="1:28" ht="15.75" customHeight="1" x14ac:dyDescent="0.3">
      <c r="A96" s="71" t="s">
        <v>275</v>
      </c>
      <c r="B96" s="72">
        <v>45138</v>
      </c>
      <c r="C96" s="71" t="s">
        <v>234</v>
      </c>
      <c r="D96" s="71" t="s">
        <v>235</v>
      </c>
      <c r="E96" s="71" t="s">
        <v>43</v>
      </c>
      <c r="F96" s="71" t="s">
        <v>44</v>
      </c>
      <c r="G96" s="71" t="s">
        <v>197</v>
      </c>
      <c r="H96" s="71" t="s">
        <v>198</v>
      </c>
      <c r="I96" s="71" t="s">
        <v>58</v>
      </c>
      <c r="J96" s="71" t="s">
        <v>59</v>
      </c>
      <c r="K96" s="71" t="s">
        <v>49</v>
      </c>
      <c r="L96" s="71" t="s">
        <v>50</v>
      </c>
      <c r="M96" s="71" t="s">
        <v>51</v>
      </c>
      <c r="N96" s="71">
        <v>297</v>
      </c>
      <c r="O96" s="73">
        <v>1259.06</v>
      </c>
      <c r="P96" s="73">
        <f t="shared" si="0"/>
        <v>373940.82</v>
      </c>
      <c r="Q96" s="71">
        <v>10</v>
      </c>
      <c r="R96" s="71">
        <v>13</v>
      </c>
      <c r="S96" s="71">
        <f t="shared" si="2"/>
        <v>3</v>
      </c>
      <c r="T96" s="71" t="str">
        <f t="shared" si="1"/>
        <v>No</v>
      </c>
      <c r="U96" s="71">
        <v>2903</v>
      </c>
      <c r="V96" s="71">
        <v>193</v>
      </c>
      <c r="W96" s="71">
        <v>231</v>
      </c>
      <c r="X96" s="71">
        <v>5</v>
      </c>
      <c r="Y96" s="71">
        <v>8</v>
      </c>
      <c r="Z96" s="73">
        <v>995.26</v>
      </c>
      <c r="AA96" s="73">
        <v>4714</v>
      </c>
      <c r="AB96" s="74">
        <v>0.98</v>
      </c>
    </row>
    <row r="97" spans="1:28" ht="15.75" customHeight="1" x14ac:dyDescent="0.3">
      <c r="A97" s="71" t="s">
        <v>276</v>
      </c>
      <c r="B97" s="72">
        <v>45145</v>
      </c>
      <c r="C97" s="71" t="s">
        <v>187</v>
      </c>
      <c r="D97" s="71" t="s">
        <v>188</v>
      </c>
      <c r="E97" s="71" t="s">
        <v>100</v>
      </c>
      <c r="F97" s="71" t="s">
        <v>113</v>
      </c>
      <c r="G97" s="71" t="s">
        <v>171</v>
      </c>
      <c r="H97" s="71" t="s">
        <v>172</v>
      </c>
      <c r="I97" s="71" t="s">
        <v>58</v>
      </c>
      <c r="J97" s="71" t="s">
        <v>90</v>
      </c>
      <c r="K97" s="71" t="s">
        <v>189</v>
      </c>
      <c r="L97" s="71" t="s">
        <v>190</v>
      </c>
      <c r="M97" s="71" t="s">
        <v>73</v>
      </c>
      <c r="N97" s="71">
        <v>183</v>
      </c>
      <c r="O97" s="73">
        <v>4471.79</v>
      </c>
      <c r="P97" s="73">
        <f t="shared" si="0"/>
        <v>818337.57</v>
      </c>
      <c r="Q97" s="71">
        <v>14</v>
      </c>
      <c r="R97" s="71">
        <v>20</v>
      </c>
      <c r="S97" s="71">
        <f t="shared" si="2"/>
        <v>6</v>
      </c>
      <c r="T97" s="71" t="str">
        <f t="shared" si="1"/>
        <v>No</v>
      </c>
      <c r="U97" s="71">
        <v>2739</v>
      </c>
      <c r="V97" s="71">
        <v>193</v>
      </c>
      <c r="W97" s="71">
        <v>199</v>
      </c>
      <c r="X97" s="71">
        <v>12</v>
      </c>
      <c r="Y97" s="71">
        <v>18</v>
      </c>
      <c r="Z97" s="73">
        <v>3415.04</v>
      </c>
      <c r="AA97" s="73">
        <v>6653</v>
      </c>
      <c r="AB97" s="74">
        <v>0.77</v>
      </c>
    </row>
    <row r="98" spans="1:28" ht="15.75" customHeight="1" x14ac:dyDescent="0.3">
      <c r="A98" s="71" t="s">
        <v>277</v>
      </c>
      <c r="B98" s="72">
        <v>45151</v>
      </c>
      <c r="C98" s="71" t="s">
        <v>98</v>
      </c>
      <c r="D98" s="71" t="s">
        <v>99</v>
      </c>
      <c r="E98" s="71" t="s">
        <v>100</v>
      </c>
      <c r="F98" s="71" t="s">
        <v>44</v>
      </c>
      <c r="G98" s="71" t="s">
        <v>217</v>
      </c>
      <c r="H98" s="71" t="s">
        <v>218</v>
      </c>
      <c r="I98" s="71" t="s">
        <v>137</v>
      </c>
      <c r="J98" s="71" t="s">
        <v>138</v>
      </c>
      <c r="K98" s="71" t="s">
        <v>108</v>
      </c>
      <c r="L98" s="71" t="s">
        <v>109</v>
      </c>
      <c r="M98" s="71" t="s">
        <v>62</v>
      </c>
      <c r="N98" s="71">
        <v>349</v>
      </c>
      <c r="O98" s="73">
        <v>9600.5300000000007</v>
      </c>
      <c r="P98" s="73">
        <f t="shared" si="0"/>
        <v>3350584.97</v>
      </c>
      <c r="Q98" s="71">
        <v>11</v>
      </c>
      <c r="R98" s="71">
        <v>11</v>
      </c>
      <c r="S98" s="71">
        <f t="shared" si="2"/>
        <v>0</v>
      </c>
      <c r="T98" s="71" t="str">
        <f t="shared" si="1"/>
        <v>Yes</v>
      </c>
      <c r="U98" s="71">
        <v>1415</v>
      </c>
      <c r="V98" s="71">
        <v>404</v>
      </c>
      <c r="W98" s="71">
        <v>583</v>
      </c>
      <c r="X98" s="71">
        <v>18</v>
      </c>
      <c r="Y98" s="71">
        <v>25</v>
      </c>
      <c r="Z98" s="73">
        <v>7381.43</v>
      </c>
      <c r="AA98" s="73">
        <v>3150</v>
      </c>
      <c r="AB98" s="74">
        <v>0.72</v>
      </c>
    </row>
    <row r="99" spans="1:28" ht="15.75" customHeight="1" x14ac:dyDescent="0.3">
      <c r="A99" s="71" t="s">
        <v>278</v>
      </c>
      <c r="B99" s="72">
        <v>45153</v>
      </c>
      <c r="C99" s="71" t="s">
        <v>169</v>
      </c>
      <c r="D99" s="71" t="s">
        <v>170</v>
      </c>
      <c r="E99" s="71" t="s">
        <v>100</v>
      </c>
      <c r="F99" s="71" t="s">
        <v>55</v>
      </c>
      <c r="G99" s="71" t="s">
        <v>88</v>
      </c>
      <c r="H99" s="71" t="s">
        <v>89</v>
      </c>
      <c r="I99" s="71" t="s">
        <v>58</v>
      </c>
      <c r="J99" s="71" t="s">
        <v>90</v>
      </c>
      <c r="K99" s="71" t="s">
        <v>104</v>
      </c>
      <c r="L99" s="71" t="s">
        <v>105</v>
      </c>
      <c r="M99" s="71" t="s">
        <v>106</v>
      </c>
      <c r="N99" s="71">
        <v>310</v>
      </c>
      <c r="O99" s="73">
        <v>6491.36</v>
      </c>
      <c r="P99" s="73">
        <f t="shared" si="0"/>
        <v>2012321.5999999999</v>
      </c>
      <c r="Q99" s="71">
        <v>29</v>
      </c>
      <c r="R99" s="71">
        <v>36</v>
      </c>
      <c r="S99" s="71">
        <f t="shared" si="2"/>
        <v>7</v>
      </c>
      <c r="T99" s="71" t="str">
        <f t="shared" si="1"/>
        <v>No</v>
      </c>
      <c r="U99" s="71">
        <v>2192</v>
      </c>
      <c r="V99" s="71">
        <v>269</v>
      </c>
      <c r="W99" s="71">
        <v>320</v>
      </c>
      <c r="X99" s="71">
        <v>15</v>
      </c>
      <c r="Y99" s="71">
        <v>20</v>
      </c>
      <c r="Z99" s="73">
        <v>4871.29</v>
      </c>
      <c r="AA99" s="73">
        <v>5819</v>
      </c>
      <c r="AB99" s="74">
        <v>0.7</v>
      </c>
    </row>
    <row r="100" spans="1:28" ht="15.75" customHeight="1" x14ac:dyDescent="0.3">
      <c r="A100" s="75" t="s">
        <v>279</v>
      </c>
      <c r="B100" s="76">
        <v>45154</v>
      </c>
      <c r="C100" s="75" t="s">
        <v>98</v>
      </c>
      <c r="D100" s="75" t="s">
        <v>99</v>
      </c>
      <c r="E100" s="75" t="s">
        <v>100</v>
      </c>
      <c r="F100" s="75" t="s">
        <v>55</v>
      </c>
      <c r="G100" s="75" t="s">
        <v>197</v>
      </c>
      <c r="H100" s="75" t="s">
        <v>198</v>
      </c>
      <c r="I100" s="75" t="s">
        <v>58</v>
      </c>
      <c r="J100" s="75" t="s">
        <v>59</v>
      </c>
      <c r="K100" s="75" t="s">
        <v>189</v>
      </c>
      <c r="L100" s="75" t="s">
        <v>190</v>
      </c>
      <c r="M100" s="75" t="s">
        <v>73</v>
      </c>
      <c r="N100" s="75">
        <v>997</v>
      </c>
      <c r="O100" s="77">
        <v>9349.81</v>
      </c>
      <c r="P100" s="77">
        <f t="shared" si="0"/>
        <v>9321760.5700000003</v>
      </c>
      <c r="Q100" s="75">
        <v>22</v>
      </c>
      <c r="R100" s="75">
        <v>28</v>
      </c>
      <c r="S100" s="75">
        <f t="shared" si="2"/>
        <v>6</v>
      </c>
      <c r="T100" s="75" t="str">
        <f t="shared" si="1"/>
        <v>No</v>
      </c>
      <c r="U100" s="75">
        <v>1551</v>
      </c>
      <c r="V100" s="75">
        <v>1139</v>
      </c>
      <c r="W100" s="75">
        <v>947</v>
      </c>
      <c r="X100" s="75">
        <v>18</v>
      </c>
      <c r="Y100" s="75">
        <v>25</v>
      </c>
      <c r="Z100" s="77">
        <v>5916.85</v>
      </c>
      <c r="AA100" s="77">
        <v>1650</v>
      </c>
      <c r="AB100" s="78">
        <v>0.93</v>
      </c>
    </row>
    <row r="101" spans="1:28" ht="15.75" customHeight="1" x14ac:dyDescent="0.3">
      <c r="A101" s="71" t="s">
        <v>280</v>
      </c>
      <c r="B101" s="72">
        <v>45155</v>
      </c>
      <c r="C101" s="71" t="s">
        <v>98</v>
      </c>
      <c r="D101" s="71" t="s">
        <v>99</v>
      </c>
      <c r="E101" s="71" t="s">
        <v>100</v>
      </c>
      <c r="F101" s="71" t="s">
        <v>66</v>
      </c>
      <c r="G101" s="71" t="s">
        <v>45</v>
      </c>
      <c r="H101" s="71" t="s">
        <v>46</v>
      </c>
      <c r="I101" s="71" t="s">
        <v>47</v>
      </c>
      <c r="J101" s="71" t="s">
        <v>48</v>
      </c>
      <c r="K101" s="71" t="s">
        <v>104</v>
      </c>
      <c r="L101" s="71" t="s">
        <v>105</v>
      </c>
      <c r="M101" s="71" t="s">
        <v>106</v>
      </c>
      <c r="N101" s="71">
        <v>295</v>
      </c>
      <c r="O101" s="73">
        <v>9486.75</v>
      </c>
      <c r="P101" s="73">
        <f t="shared" si="0"/>
        <v>2798591.25</v>
      </c>
      <c r="Q101" s="71">
        <v>29</v>
      </c>
      <c r="R101" s="71">
        <v>31</v>
      </c>
      <c r="S101" s="71">
        <f t="shared" si="2"/>
        <v>2</v>
      </c>
      <c r="T101" s="71" t="str">
        <f t="shared" si="1"/>
        <v>No</v>
      </c>
      <c r="U101" s="71">
        <v>1458</v>
      </c>
      <c r="V101" s="71">
        <v>315</v>
      </c>
      <c r="W101" s="71">
        <v>340</v>
      </c>
      <c r="X101" s="71">
        <v>18</v>
      </c>
      <c r="Y101" s="71">
        <v>25</v>
      </c>
      <c r="Z101" s="73">
        <v>7553.63</v>
      </c>
      <c r="AA101" s="73">
        <v>4892</v>
      </c>
      <c r="AB101" s="74">
        <v>0.79</v>
      </c>
    </row>
    <row r="102" spans="1:28" ht="15.75" customHeight="1" x14ac:dyDescent="0.3">
      <c r="A102" s="71" t="s">
        <v>281</v>
      </c>
      <c r="B102" s="72">
        <v>45157</v>
      </c>
      <c r="C102" s="71" t="s">
        <v>75</v>
      </c>
      <c r="D102" s="71" t="s">
        <v>76</v>
      </c>
      <c r="E102" s="71" t="s">
        <v>77</v>
      </c>
      <c r="F102" s="71" t="s">
        <v>55</v>
      </c>
      <c r="G102" s="71" t="s">
        <v>130</v>
      </c>
      <c r="H102" s="71" t="s">
        <v>131</v>
      </c>
      <c r="I102" s="71" t="s">
        <v>69</v>
      </c>
      <c r="J102" s="71" t="s">
        <v>70</v>
      </c>
      <c r="K102" s="71" t="s">
        <v>60</v>
      </c>
      <c r="L102" s="71" t="s">
        <v>61</v>
      </c>
      <c r="M102" s="71" t="s">
        <v>62</v>
      </c>
      <c r="N102" s="71">
        <v>589</v>
      </c>
      <c r="O102" s="73">
        <v>92.28</v>
      </c>
      <c r="P102" s="73">
        <f t="shared" si="0"/>
        <v>54352.92</v>
      </c>
      <c r="Q102" s="71">
        <v>29</v>
      </c>
      <c r="R102" s="71">
        <v>34</v>
      </c>
      <c r="S102" s="71">
        <f t="shared" si="2"/>
        <v>5</v>
      </c>
      <c r="T102" s="71" t="str">
        <f t="shared" si="1"/>
        <v>No</v>
      </c>
      <c r="U102" s="71">
        <v>2271</v>
      </c>
      <c r="V102" s="71">
        <v>537</v>
      </c>
      <c r="W102" s="71">
        <v>644</v>
      </c>
      <c r="X102" s="71">
        <v>2</v>
      </c>
      <c r="Y102" s="71">
        <v>3</v>
      </c>
      <c r="Z102" s="73">
        <v>60.31</v>
      </c>
      <c r="AA102" s="73">
        <v>4949</v>
      </c>
      <c r="AB102" s="74">
        <v>0.93</v>
      </c>
    </row>
    <row r="103" spans="1:28" ht="15.75" customHeight="1" x14ac:dyDescent="0.3">
      <c r="A103" s="71" t="s">
        <v>282</v>
      </c>
      <c r="B103" s="72">
        <v>45158</v>
      </c>
      <c r="C103" s="71" t="s">
        <v>161</v>
      </c>
      <c r="D103" s="71" t="s">
        <v>162</v>
      </c>
      <c r="E103" s="71" t="s">
        <v>77</v>
      </c>
      <c r="F103" s="71" t="s">
        <v>128</v>
      </c>
      <c r="G103" s="71" t="s">
        <v>152</v>
      </c>
      <c r="H103" s="71" t="s">
        <v>153</v>
      </c>
      <c r="I103" s="71" t="s">
        <v>58</v>
      </c>
      <c r="J103" s="71" t="s">
        <v>59</v>
      </c>
      <c r="K103" s="71" t="s">
        <v>60</v>
      </c>
      <c r="L103" s="71" t="s">
        <v>61</v>
      </c>
      <c r="M103" s="71" t="s">
        <v>62</v>
      </c>
      <c r="N103" s="71">
        <v>348</v>
      </c>
      <c r="O103" s="73">
        <v>48.57</v>
      </c>
      <c r="P103" s="73">
        <f t="shared" si="0"/>
        <v>16902.36</v>
      </c>
      <c r="Q103" s="71">
        <v>8</v>
      </c>
      <c r="R103" s="71">
        <v>16</v>
      </c>
      <c r="S103" s="71">
        <f t="shared" si="2"/>
        <v>8</v>
      </c>
      <c r="T103" s="71" t="str">
        <f t="shared" si="1"/>
        <v>No</v>
      </c>
      <c r="U103" s="71">
        <v>583</v>
      </c>
      <c r="V103" s="71">
        <v>106</v>
      </c>
      <c r="W103" s="71">
        <v>125</v>
      </c>
      <c r="X103" s="71">
        <v>1.5</v>
      </c>
      <c r="Y103" s="71">
        <v>2</v>
      </c>
      <c r="Z103" s="73">
        <v>38.17</v>
      </c>
      <c r="AA103" s="73">
        <v>3833</v>
      </c>
      <c r="AB103" s="74">
        <v>0.88</v>
      </c>
    </row>
    <row r="104" spans="1:28" ht="15.75" customHeight="1" x14ac:dyDescent="0.3">
      <c r="A104" s="79" t="s">
        <v>283</v>
      </c>
      <c r="B104" s="80">
        <v>45160</v>
      </c>
      <c r="C104" s="79" t="s">
        <v>234</v>
      </c>
      <c r="D104" s="79" t="s">
        <v>235</v>
      </c>
      <c r="E104" s="79" t="s">
        <v>43</v>
      </c>
      <c r="F104" s="79" t="s">
        <v>44</v>
      </c>
      <c r="G104" s="79" t="s">
        <v>217</v>
      </c>
      <c r="H104" s="79" t="s">
        <v>218</v>
      </c>
      <c r="I104" s="79" t="s">
        <v>137</v>
      </c>
      <c r="J104" s="79" t="s">
        <v>138</v>
      </c>
      <c r="K104" s="79" t="s">
        <v>71</v>
      </c>
      <c r="L104" s="79" t="s">
        <v>72</v>
      </c>
      <c r="M104" s="79" t="s">
        <v>73</v>
      </c>
      <c r="N104" s="79">
        <v>546</v>
      </c>
      <c r="O104" s="81">
        <v>1268.71</v>
      </c>
      <c r="P104" s="81">
        <f t="shared" si="0"/>
        <v>692715.66</v>
      </c>
      <c r="Q104" s="79">
        <v>24</v>
      </c>
      <c r="R104" s="79">
        <v>28</v>
      </c>
      <c r="S104" s="79">
        <f t="shared" si="2"/>
        <v>4</v>
      </c>
      <c r="T104" s="79" t="str">
        <f t="shared" si="1"/>
        <v>No</v>
      </c>
      <c r="U104" s="79">
        <v>625</v>
      </c>
      <c r="V104" s="79">
        <v>702</v>
      </c>
      <c r="W104" s="79">
        <v>680</v>
      </c>
      <c r="X104" s="79">
        <v>5</v>
      </c>
      <c r="Y104" s="79">
        <v>8</v>
      </c>
      <c r="Z104" s="81">
        <v>906.51</v>
      </c>
      <c r="AA104" s="81">
        <v>6238</v>
      </c>
      <c r="AB104" s="82">
        <v>0.73</v>
      </c>
    </row>
    <row r="105" spans="1:28" ht="15.75" customHeight="1" x14ac:dyDescent="0.3">
      <c r="A105" s="71" t="s">
        <v>284</v>
      </c>
      <c r="B105" s="72">
        <v>45160</v>
      </c>
      <c r="C105" s="71" t="s">
        <v>85</v>
      </c>
      <c r="D105" s="71" t="s">
        <v>86</v>
      </c>
      <c r="E105" s="71" t="s">
        <v>87</v>
      </c>
      <c r="F105" s="71" t="s">
        <v>55</v>
      </c>
      <c r="G105" s="71" t="s">
        <v>145</v>
      </c>
      <c r="H105" s="71" t="s">
        <v>146</v>
      </c>
      <c r="I105" s="71" t="s">
        <v>69</v>
      </c>
      <c r="J105" s="71" t="s">
        <v>70</v>
      </c>
      <c r="K105" s="71" t="s">
        <v>91</v>
      </c>
      <c r="L105" s="71" t="s">
        <v>92</v>
      </c>
      <c r="M105" s="71" t="s">
        <v>51</v>
      </c>
      <c r="N105" s="71">
        <v>802</v>
      </c>
      <c r="O105" s="73">
        <v>354.07</v>
      </c>
      <c r="P105" s="73">
        <f t="shared" si="0"/>
        <v>283964.14</v>
      </c>
      <c r="Q105" s="71">
        <v>13</v>
      </c>
      <c r="R105" s="71">
        <v>17</v>
      </c>
      <c r="S105" s="71">
        <f t="shared" si="2"/>
        <v>4</v>
      </c>
      <c r="T105" s="71" t="str">
        <f t="shared" si="1"/>
        <v>No</v>
      </c>
      <c r="U105" s="71">
        <v>2497</v>
      </c>
      <c r="V105" s="71">
        <v>861</v>
      </c>
      <c r="W105" s="71">
        <v>802</v>
      </c>
      <c r="X105" s="71">
        <v>2</v>
      </c>
      <c r="Y105" s="71">
        <v>4</v>
      </c>
      <c r="Z105" s="73">
        <v>227.41</v>
      </c>
      <c r="AA105" s="73">
        <v>7249</v>
      </c>
      <c r="AB105" s="74">
        <v>0.81</v>
      </c>
    </row>
    <row r="106" spans="1:28" ht="15.75" customHeight="1" x14ac:dyDescent="0.3">
      <c r="A106" s="71" t="s">
        <v>285</v>
      </c>
      <c r="B106" s="72">
        <v>45160</v>
      </c>
      <c r="C106" s="71" t="s">
        <v>241</v>
      </c>
      <c r="D106" s="71" t="s">
        <v>242</v>
      </c>
      <c r="E106" s="71" t="s">
        <v>100</v>
      </c>
      <c r="F106" s="71" t="s">
        <v>55</v>
      </c>
      <c r="G106" s="71" t="s">
        <v>122</v>
      </c>
      <c r="H106" s="71" t="s">
        <v>123</v>
      </c>
      <c r="I106" s="71" t="s">
        <v>69</v>
      </c>
      <c r="J106" s="71" t="s">
        <v>80</v>
      </c>
      <c r="K106" s="71" t="s">
        <v>104</v>
      </c>
      <c r="L106" s="71" t="s">
        <v>105</v>
      </c>
      <c r="M106" s="71" t="s">
        <v>106</v>
      </c>
      <c r="N106" s="71">
        <v>418</v>
      </c>
      <c r="O106" s="73">
        <v>1506</v>
      </c>
      <c r="P106" s="73">
        <f t="shared" si="0"/>
        <v>629508</v>
      </c>
      <c r="Q106" s="71">
        <v>8</v>
      </c>
      <c r="R106" s="71">
        <v>11</v>
      </c>
      <c r="S106" s="71">
        <f t="shared" si="2"/>
        <v>3</v>
      </c>
      <c r="T106" s="71" t="str">
        <f t="shared" si="1"/>
        <v>No</v>
      </c>
      <c r="U106" s="71">
        <v>1768</v>
      </c>
      <c r="V106" s="71">
        <v>282</v>
      </c>
      <c r="W106" s="71">
        <v>275</v>
      </c>
      <c r="X106" s="71">
        <v>5</v>
      </c>
      <c r="Y106" s="71">
        <v>7</v>
      </c>
      <c r="Z106" s="73">
        <v>1190.82</v>
      </c>
      <c r="AA106" s="73">
        <v>6126</v>
      </c>
      <c r="AB106" s="74">
        <v>0.96</v>
      </c>
    </row>
    <row r="107" spans="1:28" ht="15.75" customHeight="1" x14ac:dyDescent="0.3">
      <c r="A107" s="71" t="s">
        <v>286</v>
      </c>
      <c r="B107" s="72">
        <v>45166</v>
      </c>
      <c r="C107" s="71" t="s">
        <v>75</v>
      </c>
      <c r="D107" s="71" t="s">
        <v>76</v>
      </c>
      <c r="E107" s="71" t="s">
        <v>77</v>
      </c>
      <c r="F107" s="71" t="s">
        <v>66</v>
      </c>
      <c r="G107" s="71" t="s">
        <v>56</v>
      </c>
      <c r="H107" s="71" t="s">
        <v>57</v>
      </c>
      <c r="I107" s="71" t="s">
        <v>58</v>
      </c>
      <c r="J107" s="71" t="s">
        <v>59</v>
      </c>
      <c r="K107" s="71" t="s">
        <v>81</v>
      </c>
      <c r="L107" s="71" t="s">
        <v>82</v>
      </c>
      <c r="M107" s="71" t="s">
        <v>83</v>
      </c>
      <c r="N107" s="71">
        <v>153</v>
      </c>
      <c r="O107" s="73">
        <v>87.21</v>
      </c>
      <c r="P107" s="73">
        <f t="shared" si="0"/>
        <v>13343.13</v>
      </c>
      <c r="Q107" s="71">
        <v>14</v>
      </c>
      <c r="R107" s="71">
        <v>15</v>
      </c>
      <c r="S107" s="71">
        <f t="shared" si="2"/>
        <v>1</v>
      </c>
      <c r="T107" s="71" t="str">
        <f t="shared" si="1"/>
        <v>No</v>
      </c>
      <c r="U107" s="71">
        <v>2379</v>
      </c>
      <c r="V107" s="71">
        <v>104</v>
      </c>
      <c r="W107" s="71">
        <v>126</v>
      </c>
      <c r="X107" s="71">
        <v>2</v>
      </c>
      <c r="Y107" s="71">
        <v>3</v>
      </c>
      <c r="Z107" s="73">
        <v>64.05</v>
      </c>
      <c r="AA107" s="73">
        <v>3126</v>
      </c>
      <c r="AB107" s="74">
        <v>0.77</v>
      </c>
    </row>
    <row r="108" spans="1:28" ht="15.75" customHeight="1" x14ac:dyDescent="0.3">
      <c r="A108" s="79" t="s">
        <v>287</v>
      </c>
      <c r="B108" s="80">
        <v>45168</v>
      </c>
      <c r="C108" s="79" t="s">
        <v>53</v>
      </c>
      <c r="D108" s="79" t="s">
        <v>54</v>
      </c>
      <c r="E108" s="79" t="s">
        <v>43</v>
      </c>
      <c r="F108" s="79" t="s">
        <v>128</v>
      </c>
      <c r="G108" s="79" t="s">
        <v>67</v>
      </c>
      <c r="H108" s="79" t="s">
        <v>68</v>
      </c>
      <c r="I108" s="79" t="s">
        <v>69</v>
      </c>
      <c r="J108" s="79" t="s">
        <v>70</v>
      </c>
      <c r="K108" s="79" t="s">
        <v>104</v>
      </c>
      <c r="L108" s="79" t="s">
        <v>105</v>
      </c>
      <c r="M108" s="79" t="s">
        <v>106</v>
      </c>
      <c r="N108" s="79">
        <v>567</v>
      </c>
      <c r="O108" s="81">
        <v>731.53</v>
      </c>
      <c r="P108" s="81">
        <f t="shared" si="0"/>
        <v>414777.51</v>
      </c>
      <c r="Q108" s="79">
        <v>25</v>
      </c>
      <c r="R108" s="79">
        <v>28</v>
      </c>
      <c r="S108" s="79">
        <f t="shared" si="2"/>
        <v>3</v>
      </c>
      <c r="T108" s="79" t="str">
        <f t="shared" si="1"/>
        <v>No</v>
      </c>
      <c r="U108" s="79">
        <v>268</v>
      </c>
      <c r="V108" s="79">
        <v>440</v>
      </c>
      <c r="W108" s="79">
        <v>410</v>
      </c>
      <c r="X108" s="79">
        <v>3.5</v>
      </c>
      <c r="Y108" s="79">
        <v>5</v>
      </c>
      <c r="Z108" s="81">
        <v>456.79</v>
      </c>
      <c r="AA108" s="81">
        <v>7447</v>
      </c>
      <c r="AB108" s="82">
        <v>0.93</v>
      </c>
    </row>
    <row r="109" spans="1:28" ht="15.75" customHeight="1" x14ac:dyDescent="0.3">
      <c r="A109" s="71" t="s">
        <v>288</v>
      </c>
      <c r="B109" s="72">
        <v>45170</v>
      </c>
      <c r="C109" s="71" t="s">
        <v>41</v>
      </c>
      <c r="D109" s="71" t="s">
        <v>42</v>
      </c>
      <c r="E109" s="71" t="s">
        <v>43</v>
      </c>
      <c r="F109" s="71" t="s">
        <v>55</v>
      </c>
      <c r="G109" s="71" t="s">
        <v>203</v>
      </c>
      <c r="H109" s="71" t="s">
        <v>204</v>
      </c>
      <c r="I109" s="71" t="s">
        <v>58</v>
      </c>
      <c r="J109" s="71" t="s">
        <v>90</v>
      </c>
      <c r="K109" s="71" t="s">
        <v>71</v>
      </c>
      <c r="L109" s="71" t="s">
        <v>72</v>
      </c>
      <c r="M109" s="71" t="s">
        <v>73</v>
      </c>
      <c r="N109" s="71">
        <v>281</v>
      </c>
      <c r="O109" s="73">
        <v>11413.75</v>
      </c>
      <c r="P109" s="73">
        <f t="shared" si="0"/>
        <v>3207263.75</v>
      </c>
      <c r="Q109" s="71">
        <v>28</v>
      </c>
      <c r="R109" s="71">
        <v>32</v>
      </c>
      <c r="S109" s="71">
        <f t="shared" si="2"/>
        <v>4</v>
      </c>
      <c r="T109" s="71" t="str">
        <f t="shared" si="1"/>
        <v>No</v>
      </c>
      <c r="U109" s="71">
        <v>2174</v>
      </c>
      <c r="V109" s="71">
        <v>122</v>
      </c>
      <c r="W109" s="71">
        <v>103</v>
      </c>
      <c r="X109" s="71">
        <v>25</v>
      </c>
      <c r="Y109" s="71">
        <v>35</v>
      </c>
      <c r="Z109" s="73">
        <v>7871.55</v>
      </c>
      <c r="AA109" s="73">
        <v>3465</v>
      </c>
      <c r="AB109" s="74">
        <v>0.84</v>
      </c>
    </row>
    <row r="110" spans="1:28" ht="15.75" customHeight="1" x14ac:dyDescent="0.3">
      <c r="A110" s="71" t="s">
        <v>289</v>
      </c>
      <c r="B110" s="72">
        <v>45173</v>
      </c>
      <c r="C110" s="71" t="s">
        <v>221</v>
      </c>
      <c r="D110" s="71" t="s">
        <v>222</v>
      </c>
      <c r="E110" s="71" t="s">
        <v>77</v>
      </c>
      <c r="F110" s="71" t="s">
        <v>44</v>
      </c>
      <c r="G110" s="71" t="s">
        <v>122</v>
      </c>
      <c r="H110" s="71" t="s">
        <v>123</v>
      </c>
      <c r="I110" s="71" t="s">
        <v>69</v>
      </c>
      <c r="J110" s="71" t="s">
        <v>80</v>
      </c>
      <c r="K110" s="71" t="s">
        <v>81</v>
      </c>
      <c r="L110" s="71" t="s">
        <v>82</v>
      </c>
      <c r="M110" s="71" t="s">
        <v>83</v>
      </c>
      <c r="N110" s="71">
        <v>792</v>
      </c>
      <c r="O110" s="73">
        <v>32.17</v>
      </c>
      <c r="P110" s="73">
        <f t="shared" si="0"/>
        <v>25478.640000000003</v>
      </c>
      <c r="Q110" s="71">
        <v>12</v>
      </c>
      <c r="R110" s="71">
        <v>19</v>
      </c>
      <c r="S110" s="71">
        <f t="shared" si="2"/>
        <v>7</v>
      </c>
      <c r="T110" s="71" t="str">
        <f t="shared" si="1"/>
        <v>No</v>
      </c>
      <c r="U110" s="71">
        <v>1610</v>
      </c>
      <c r="V110" s="71">
        <v>574</v>
      </c>
      <c r="W110" s="71">
        <v>796</v>
      </c>
      <c r="X110" s="71">
        <v>1.2</v>
      </c>
      <c r="Y110" s="71">
        <v>2</v>
      </c>
      <c r="Z110" s="73">
        <v>24.74</v>
      </c>
      <c r="AA110" s="73">
        <v>1942</v>
      </c>
      <c r="AB110" s="74">
        <v>0.77</v>
      </c>
    </row>
    <row r="111" spans="1:28" ht="15.75" customHeight="1" x14ac:dyDescent="0.3">
      <c r="A111" s="71" t="s">
        <v>290</v>
      </c>
      <c r="B111" s="72">
        <v>45174</v>
      </c>
      <c r="C111" s="71" t="s">
        <v>53</v>
      </c>
      <c r="D111" s="71" t="s">
        <v>54</v>
      </c>
      <c r="E111" s="71" t="s">
        <v>43</v>
      </c>
      <c r="F111" s="71" t="s">
        <v>113</v>
      </c>
      <c r="G111" s="71" t="s">
        <v>192</v>
      </c>
      <c r="H111" s="71" t="s">
        <v>193</v>
      </c>
      <c r="I111" s="71" t="s">
        <v>137</v>
      </c>
      <c r="J111" s="71" t="s">
        <v>138</v>
      </c>
      <c r="K111" s="71" t="s">
        <v>60</v>
      </c>
      <c r="L111" s="71" t="s">
        <v>61</v>
      </c>
      <c r="M111" s="71" t="s">
        <v>62</v>
      </c>
      <c r="N111" s="71">
        <v>191</v>
      </c>
      <c r="O111" s="73">
        <v>741.08</v>
      </c>
      <c r="P111" s="73">
        <f t="shared" si="0"/>
        <v>141546.28</v>
      </c>
      <c r="Q111" s="71">
        <v>20</v>
      </c>
      <c r="R111" s="71">
        <v>27</v>
      </c>
      <c r="S111" s="71">
        <f t="shared" si="2"/>
        <v>7</v>
      </c>
      <c r="T111" s="71" t="str">
        <f t="shared" si="1"/>
        <v>No</v>
      </c>
      <c r="U111" s="71">
        <v>2278</v>
      </c>
      <c r="V111" s="71">
        <v>137</v>
      </c>
      <c r="W111" s="71">
        <v>125</v>
      </c>
      <c r="X111" s="71">
        <v>3.5</v>
      </c>
      <c r="Y111" s="71">
        <v>5</v>
      </c>
      <c r="Z111" s="73">
        <v>577.23</v>
      </c>
      <c r="AA111" s="73">
        <v>6635</v>
      </c>
      <c r="AB111" s="74">
        <v>0.93</v>
      </c>
    </row>
    <row r="112" spans="1:28" ht="15.75" customHeight="1" x14ac:dyDescent="0.3">
      <c r="A112" s="79" t="s">
        <v>291</v>
      </c>
      <c r="B112" s="80">
        <v>45176</v>
      </c>
      <c r="C112" s="79" t="s">
        <v>161</v>
      </c>
      <c r="D112" s="79" t="s">
        <v>162</v>
      </c>
      <c r="E112" s="79" t="s">
        <v>77</v>
      </c>
      <c r="F112" s="79" t="s">
        <v>55</v>
      </c>
      <c r="G112" s="79" t="s">
        <v>67</v>
      </c>
      <c r="H112" s="79" t="s">
        <v>68</v>
      </c>
      <c r="I112" s="79" t="s">
        <v>69</v>
      </c>
      <c r="J112" s="79" t="s">
        <v>70</v>
      </c>
      <c r="K112" s="79" t="s">
        <v>81</v>
      </c>
      <c r="L112" s="79" t="s">
        <v>82</v>
      </c>
      <c r="M112" s="79" t="s">
        <v>83</v>
      </c>
      <c r="N112" s="79">
        <v>679</v>
      </c>
      <c r="O112" s="81">
        <v>51.66</v>
      </c>
      <c r="P112" s="81">
        <f t="shared" si="0"/>
        <v>35077.14</v>
      </c>
      <c r="Q112" s="79">
        <v>25</v>
      </c>
      <c r="R112" s="79">
        <v>23</v>
      </c>
      <c r="S112" s="79">
        <f t="shared" si="2"/>
        <v>0</v>
      </c>
      <c r="T112" s="79" t="str">
        <f t="shared" si="1"/>
        <v>Yes</v>
      </c>
      <c r="U112" s="79">
        <v>402</v>
      </c>
      <c r="V112" s="79">
        <v>533</v>
      </c>
      <c r="W112" s="79">
        <v>567</v>
      </c>
      <c r="X112" s="79">
        <v>1.5</v>
      </c>
      <c r="Y112" s="79">
        <v>2</v>
      </c>
      <c r="Z112" s="81">
        <v>35.909999999999997</v>
      </c>
      <c r="AA112" s="81">
        <v>5716</v>
      </c>
      <c r="AB112" s="82">
        <v>0.7</v>
      </c>
    </row>
    <row r="113" spans="1:28" ht="15.75" customHeight="1" x14ac:dyDescent="0.3">
      <c r="A113" s="75" t="s">
        <v>292</v>
      </c>
      <c r="B113" s="76">
        <v>45181</v>
      </c>
      <c r="C113" s="75" t="s">
        <v>221</v>
      </c>
      <c r="D113" s="75" t="s">
        <v>222</v>
      </c>
      <c r="E113" s="75" t="s">
        <v>77</v>
      </c>
      <c r="F113" s="75" t="s">
        <v>66</v>
      </c>
      <c r="G113" s="75" t="s">
        <v>171</v>
      </c>
      <c r="H113" s="75" t="s">
        <v>172</v>
      </c>
      <c r="I113" s="75" t="s">
        <v>58</v>
      </c>
      <c r="J113" s="75" t="s">
        <v>90</v>
      </c>
      <c r="K113" s="75" t="s">
        <v>81</v>
      </c>
      <c r="L113" s="75" t="s">
        <v>82</v>
      </c>
      <c r="M113" s="75" t="s">
        <v>83</v>
      </c>
      <c r="N113" s="75">
        <v>401</v>
      </c>
      <c r="O113" s="77">
        <v>31.31</v>
      </c>
      <c r="P113" s="77">
        <f t="shared" si="0"/>
        <v>12555.31</v>
      </c>
      <c r="Q113" s="75">
        <v>20</v>
      </c>
      <c r="R113" s="75">
        <v>21</v>
      </c>
      <c r="S113" s="75">
        <f t="shared" si="2"/>
        <v>1</v>
      </c>
      <c r="T113" s="75" t="str">
        <f t="shared" si="1"/>
        <v>No</v>
      </c>
      <c r="U113" s="75">
        <v>837</v>
      </c>
      <c r="V113" s="75">
        <v>513</v>
      </c>
      <c r="W113" s="75">
        <v>575</v>
      </c>
      <c r="X113" s="75">
        <v>1.2</v>
      </c>
      <c r="Y113" s="75">
        <v>2</v>
      </c>
      <c r="Z113" s="77">
        <v>20.69</v>
      </c>
      <c r="AA113" s="77">
        <v>7015</v>
      </c>
      <c r="AB113" s="78">
        <v>0.94</v>
      </c>
    </row>
    <row r="114" spans="1:28" ht="15.75" customHeight="1" x14ac:dyDescent="0.3">
      <c r="A114" s="71" t="s">
        <v>293</v>
      </c>
      <c r="B114" s="72">
        <v>45181</v>
      </c>
      <c r="C114" s="71" t="s">
        <v>98</v>
      </c>
      <c r="D114" s="71" t="s">
        <v>99</v>
      </c>
      <c r="E114" s="71" t="s">
        <v>100</v>
      </c>
      <c r="F114" s="71" t="s">
        <v>55</v>
      </c>
      <c r="G114" s="71" t="s">
        <v>45</v>
      </c>
      <c r="H114" s="71" t="s">
        <v>46</v>
      </c>
      <c r="I114" s="71" t="s">
        <v>47</v>
      </c>
      <c r="J114" s="71" t="s">
        <v>48</v>
      </c>
      <c r="K114" s="71" t="s">
        <v>108</v>
      </c>
      <c r="L114" s="71" t="s">
        <v>109</v>
      </c>
      <c r="M114" s="71" t="s">
        <v>62</v>
      </c>
      <c r="N114" s="71">
        <v>467</v>
      </c>
      <c r="O114" s="73">
        <v>9251.73</v>
      </c>
      <c r="P114" s="73">
        <f t="shared" si="0"/>
        <v>4320557.91</v>
      </c>
      <c r="Q114" s="71">
        <v>15</v>
      </c>
      <c r="R114" s="71">
        <v>17</v>
      </c>
      <c r="S114" s="71">
        <f t="shared" si="2"/>
        <v>2</v>
      </c>
      <c r="T114" s="71" t="str">
        <f t="shared" si="1"/>
        <v>No</v>
      </c>
      <c r="U114" s="71">
        <v>2405</v>
      </c>
      <c r="V114" s="71">
        <v>545</v>
      </c>
      <c r="W114" s="71">
        <v>440</v>
      </c>
      <c r="X114" s="71">
        <v>18</v>
      </c>
      <c r="Y114" s="71">
        <v>25</v>
      </c>
      <c r="Z114" s="73">
        <v>6760.58</v>
      </c>
      <c r="AA114" s="73">
        <v>6175</v>
      </c>
      <c r="AB114" s="74">
        <v>0.77</v>
      </c>
    </row>
    <row r="115" spans="1:28" ht="15.75" customHeight="1" x14ac:dyDescent="0.3">
      <c r="A115" s="79" t="s">
        <v>294</v>
      </c>
      <c r="B115" s="80">
        <v>45182</v>
      </c>
      <c r="C115" s="79" t="s">
        <v>111</v>
      </c>
      <c r="D115" s="79" t="s">
        <v>112</v>
      </c>
      <c r="E115" s="79" t="s">
        <v>87</v>
      </c>
      <c r="F115" s="79" t="s">
        <v>113</v>
      </c>
      <c r="G115" s="79" t="s">
        <v>265</v>
      </c>
      <c r="H115" s="79" t="s">
        <v>266</v>
      </c>
      <c r="I115" s="79" t="s">
        <v>69</v>
      </c>
      <c r="J115" s="79" t="s">
        <v>70</v>
      </c>
      <c r="K115" s="79" t="s">
        <v>91</v>
      </c>
      <c r="L115" s="79" t="s">
        <v>92</v>
      </c>
      <c r="M115" s="79" t="s">
        <v>51</v>
      </c>
      <c r="N115" s="79">
        <v>693</v>
      </c>
      <c r="O115" s="81">
        <v>877.87</v>
      </c>
      <c r="P115" s="81">
        <f t="shared" si="0"/>
        <v>608363.91</v>
      </c>
      <c r="Q115" s="79">
        <v>22</v>
      </c>
      <c r="R115" s="79">
        <v>29</v>
      </c>
      <c r="S115" s="79">
        <f t="shared" si="2"/>
        <v>7</v>
      </c>
      <c r="T115" s="79" t="str">
        <f t="shared" si="1"/>
        <v>No</v>
      </c>
      <c r="U115" s="79">
        <v>1319</v>
      </c>
      <c r="V115" s="79">
        <v>997</v>
      </c>
      <c r="W115" s="79">
        <v>1419</v>
      </c>
      <c r="X115" s="79">
        <v>4</v>
      </c>
      <c r="Y115" s="79">
        <v>6</v>
      </c>
      <c r="Z115" s="81">
        <v>634.28</v>
      </c>
      <c r="AA115" s="81">
        <v>6392</v>
      </c>
      <c r="AB115" s="82">
        <v>0.95</v>
      </c>
    </row>
    <row r="116" spans="1:28" ht="15.75" customHeight="1" x14ac:dyDescent="0.3">
      <c r="A116" s="71" t="s">
        <v>295</v>
      </c>
      <c r="B116" s="72">
        <v>45183</v>
      </c>
      <c r="C116" s="71" t="s">
        <v>98</v>
      </c>
      <c r="D116" s="71" t="s">
        <v>99</v>
      </c>
      <c r="E116" s="71" t="s">
        <v>100</v>
      </c>
      <c r="F116" s="71" t="s">
        <v>128</v>
      </c>
      <c r="G116" s="71" t="s">
        <v>212</v>
      </c>
      <c r="H116" s="71" t="s">
        <v>213</v>
      </c>
      <c r="I116" s="71" t="s">
        <v>214</v>
      </c>
      <c r="J116" s="71" t="s">
        <v>138</v>
      </c>
      <c r="K116" s="71" t="s">
        <v>189</v>
      </c>
      <c r="L116" s="71" t="s">
        <v>190</v>
      </c>
      <c r="M116" s="71" t="s">
        <v>73</v>
      </c>
      <c r="N116" s="71">
        <v>866</v>
      </c>
      <c r="O116" s="73">
        <v>9478.6</v>
      </c>
      <c r="P116" s="73">
        <f t="shared" si="0"/>
        <v>8208467.6000000006</v>
      </c>
      <c r="Q116" s="71">
        <v>23</v>
      </c>
      <c r="R116" s="71">
        <v>21</v>
      </c>
      <c r="S116" s="71">
        <f t="shared" si="2"/>
        <v>0</v>
      </c>
      <c r="T116" s="71" t="str">
        <f t="shared" si="1"/>
        <v>Yes</v>
      </c>
      <c r="U116" s="71">
        <v>2773</v>
      </c>
      <c r="V116" s="71">
        <v>1113</v>
      </c>
      <c r="W116" s="71">
        <v>1339</v>
      </c>
      <c r="X116" s="71">
        <v>18</v>
      </c>
      <c r="Y116" s="71">
        <v>25</v>
      </c>
      <c r="Z116" s="73">
        <v>7133.8</v>
      </c>
      <c r="AA116" s="73">
        <v>1935</v>
      </c>
      <c r="AB116" s="74">
        <v>0.83</v>
      </c>
    </row>
    <row r="117" spans="1:28" ht="15.75" customHeight="1" x14ac:dyDescent="0.3">
      <c r="A117" s="75" t="s">
        <v>296</v>
      </c>
      <c r="B117" s="76">
        <v>45183</v>
      </c>
      <c r="C117" s="75" t="s">
        <v>234</v>
      </c>
      <c r="D117" s="75" t="s">
        <v>235</v>
      </c>
      <c r="E117" s="75" t="s">
        <v>43</v>
      </c>
      <c r="F117" s="75" t="s">
        <v>113</v>
      </c>
      <c r="G117" s="75" t="s">
        <v>251</v>
      </c>
      <c r="H117" s="75" t="s">
        <v>252</v>
      </c>
      <c r="I117" s="75" t="s">
        <v>137</v>
      </c>
      <c r="J117" s="75" t="s">
        <v>138</v>
      </c>
      <c r="K117" s="75" t="s">
        <v>104</v>
      </c>
      <c r="L117" s="75" t="s">
        <v>105</v>
      </c>
      <c r="M117" s="75" t="s">
        <v>106</v>
      </c>
      <c r="N117" s="75">
        <v>577</v>
      </c>
      <c r="O117" s="77">
        <v>1360.29</v>
      </c>
      <c r="P117" s="77">
        <f t="shared" si="0"/>
        <v>784887.33</v>
      </c>
      <c r="Q117" s="75">
        <v>27</v>
      </c>
      <c r="R117" s="75">
        <v>33</v>
      </c>
      <c r="S117" s="75">
        <f t="shared" si="2"/>
        <v>6</v>
      </c>
      <c r="T117" s="75" t="str">
        <f t="shared" si="1"/>
        <v>No</v>
      </c>
      <c r="U117" s="75">
        <v>530</v>
      </c>
      <c r="V117" s="75">
        <v>370</v>
      </c>
      <c r="W117" s="75">
        <v>493</v>
      </c>
      <c r="X117" s="75">
        <v>5</v>
      </c>
      <c r="Y117" s="75">
        <v>8</v>
      </c>
      <c r="Z117" s="77">
        <v>890.39</v>
      </c>
      <c r="AA117" s="77">
        <v>7916</v>
      </c>
      <c r="AB117" s="78">
        <v>0.84</v>
      </c>
    </row>
    <row r="118" spans="1:28" ht="15.75" customHeight="1" x14ac:dyDescent="0.3">
      <c r="A118" s="75" t="s">
        <v>297</v>
      </c>
      <c r="B118" s="76">
        <v>45187</v>
      </c>
      <c r="C118" s="75" t="s">
        <v>234</v>
      </c>
      <c r="D118" s="75" t="s">
        <v>235</v>
      </c>
      <c r="E118" s="75" t="s">
        <v>43</v>
      </c>
      <c r="F118" s="75" t="s">
        <v>113</v>
      </c>
      <c r="G118" s="75" t="s">
        <v>203</v>
      </c>
      <c r="H118" s="75" t="s">
        <v>204</v>
      </c>
      <c r="I118" s="75" t="s">
        <v>58</v>
      </c>
      <c r="J118" s="75" t="s">
        <v>90</v>
      </c>
      <c r="K118" s="75" t="s">
        <v>49</v>
      </c>
      <c r="L118" s="75" t="s">
        <v>50</v>
      </c>
      <c r="M118" s="75" t="s">
        <v>51</v>
      </c>
      <c r="N118" s="75">
        <v>957</v>
      </c>
      <c r="O118" s="77">
        <v>1321.95</v>
      </c>
      <c r="P118" s="77">
        <f t="shared" si="0"/>
        <v>1265106.1500000001</v>
      </c>
      <c r="Q118" s="75">
        <v>26</v>
      </c>
      <c r="R118" s="75">
        <v>34</v>
      </c>
      <c r="S118" s="75">
        <f t="shared" si="2"/>
        <v>8</v>
      </c>
      <c r="T118" s="75" t="str">
        <f t="shared" si="1"/>
        <v>No</v>
      </c>
      <c r="U118" s="75">
        <v>827</v>
      </c>
      <c r="V118" s="75">
        <v>705</v>
      </c>
      <c r="W118" s="75">
        <v>598</v>
      </c>
      <c r="X118" s="75">
        <v>5</v>
      </c>
      <c r="Y118" s="75">
        <v>8</v>
      </c>
      <c r="Z118" s="77">
        <v>968.79</v>
      </c>
      <c r="AA118" s="77">
        <v>3204</v>
      </c>
      <c r="AB118" s="78">
        <v>0.87</v>
      </c>
    </row>
    <row r="119" spans="1:28" ht="15.75" customHeight="1" x14ac:dyDescent="0.3">
      <c r="A119" s="71" t="s">
        <v>298</v>
      </c>
      <c r="B119" s="72">
        <v>45188</v>
      </c>
      <c r="C119" s="71" t="s">
        <v>98</v>
      </c>
      <c r="D119" s="71" t="s">
        <v>99</v>
      </c>
      <c r="E119" s="71" t="s">
        <v>100</v>
      </c>
      <c r="F119" s="71" t="s">
        <v>55</v>
      </c>
      <c r="G119" s="71" t="s">
        <v>178</v>
      </c>
      <c r="H119" s="71" t="s">
        <v>179</v>
      </c>
      <c r="I119" s="71" t="s">
        <v>58</v>
      </c>
      <c r="J119" s="71" t="s">
        <v>59</v>
      </c>
      <c r="K119" s="71" t="s">
        <v>189</v>
      </c>
      <c r="L119" s="71" t="s">
        <v>190</v>
      </c>
      <c r="M119" s="71" t="s">
        <v>73</v>
      </c>
      <c r="N119" s="71">
        <v>969</v>
      </c>
      <c r="O119" s="73">
        <v>7978.96</v>
      </c>
      <c r="P119" s="73">
        <f t="shared" si="0"/>
        <v>7731612.2400000002</v>
      </c>
      <c r="Q119" s="71">
        <v>9</v>
      </c>
      <c r="R119" s="71">
        <v>12</v>
      </c>
      <c r="S119" s="71">
        <f t="shared" si="2"/>
        <v>3</v>
      </c>
      <c r="T119" s="71" t="str">
        <f t="shared" si="1"/>
        <v>No</v>
      </c>
      <c r="U119" s="71">
        <v>2464</v>
      </c>
      <c r="V119" s="71">
        <v>349</v>
      </c>
      <c r="W119" s="71">
        <v>506</v>
      </c>
      <c r="X119" s="71">
        <v>18</v>
      </c>
      <c r="Y119" s="71">
        <v>25</v>
      </c>
      <c r="Z119" s="73">
        <v>5769.76</v>
      </c>
      <c r="AA119" s="73">
        <v>5922</v>
      </c>
      <c r="AB119" s="74">
        <v>0.78</v>
      </c>
    </row>
    <row r="120" spans="1:28" ht="15.75" customHeight="1" x14ac:dyDescent="0.3">
      <c r="A120" s="71" t="s">
        <v>299</v>
      </c>
      <c r="B120" s="72">
        <v>45192</v>
      </c>
      <c r="C120" s="71" t="s">
        <v>241</v>
      </c>
      <c r="D120" s="71" t="s">
        <v>242</v>
      </c>
      <c r="E120" s="71" t="s">
        <v>100</v>
      </c>
      <c r="F120" s="71" t="s">
        <v>113</v>
      </c>
      <c r="G120" s="71" t="s">
        <v>45</v>
      </c>
      <c r="H120" s="71" t="s">
        <v>46</v>
      </c>
      <c r="I120" s="71" t="s">
        <v>47</v>
      </c>
      <c r="J120" s="71" t="s">
        <v>48</v>
      </c>
      <c r="K120" s="71" t="s">
        <v>189</v>
      </c>
      <c r="L120" s="71" t="s">
        <v>190</v>
      </c>
      <c r="M120" s="71" t="s">
        <v>73</v>
      </c>
      <c r="N120" s="71">
        <v>46</v>
      </c>
      <c r="O120" s="73">
        <v>1568.63</v>
      </c>
      <c r="P120" s="73">
        <f t="shared" si="0"/>
        <v>72156.98000000001</v>
      </c>
      <c r="Q120" s="71">
        <v>23</v>
      </c>
      <c r="R120" s="71">
        <v>24</v>
      </c>
      <c r="S120" s="71">
        <f t="shared" si="2"/>
        <v>1</v>
      </c>
      <c r="T120" s="71" t="str">
        <f t="shared" si="1"/>
        <v>No</v>
      </c>
      <c r="U120" s="71">
        <v>1425</v>
      </c>
      <c r="V120" s="71">
        <v>53</v>
      </c>
      <c r="W120" s="71">
        <v>50</v>
      </c>
      <c r="X120" s="71">
        <v>5</v>
      </c>
      <c r="Y120" s="71">
        <v>7</v>
      </c>
      <c r="Z120" s="73">
        <v>1108.9100000000001</v>
      </c>
      <c r="AA120" s="73">
        <v>6929</v>
      </c>
      <c r="AB120" s="74">
        <v>0.83</v>
      </c>
    </row>
    <row r="121" spans="1:28" ht="15.75" customHeight="1" x14ac:dyDescent="0.3">
      <c r="A121" s="71" t="s">
        <v>300</v>
      </c>
      <c r="B121" s="72">
        <v>45195</v>
      </c>
      <c r="C121" s="71" t="s">
        <v>133</v>
      </c>
      <c r="D121" s="71" t="s">
        <v>134</v>
      </c>
      <c r="E121" s="71" t="s">
        <v>100</v>
      </c>
      <c r="F121" s="71" t="s">
        <v>113</v>
      </c>
      <c r="G121" s="71" t="s">
        <v>101</v>
      </c>
      <c r="H121" s="71" t="s">
        <v>102</v>
      </c>
      <c r="I121" s="71" t="s">
        <v>69</v>
      </c>
      <c r="J121" s="71" t="s">
        <v>103</v>
      </c>
      <c r="K121" s="71" t="s">
        <v>189</v>
      </c>
      <c r="L121" s="71" t="s">
        <v>190</v>
      </c>
      <c r="M121" s="71" t="s">
        <v>73</v>
      </c>
      <c r="N121" s="71">
        <v>447</v>
      </c>
      <c r="O121" s="73">
        <v>2184.48</v>
      </c>
      <c r="P121" s="73">
        <f t="shared" si="0"/>
        <v>976462.56</v>
      </c>
      <c r="Q121" s="71">
        <v>8</v>
      </c>
      <c r="R121" s="71">
        <v>7</v>
      </c>
      <c r="S121" s="71">
        <f t="shared" si="2"/>
        <v>0</v>
      </c>
      <c r="T121" s="71" t="str">
        <f t="shared" si="1"/>
        <v>Yes</v>
      </c>
      <c r="U121" s="71">
        <v>2850</v>
      </c>
      <c r="V121" s="71">
        <v>618</v>
      </c>
      <c r="W121" s="71">
        <v>730</v>
      </c>
      <c r="X121" s="71">
        <v>8</v>
      </c>
      <c r="Y121" s="71">
        <v>12</v>
      </c>
      <c r="Z121" s="73">
        <v>1675.32</v>
      </c>
      <c r="AA121" s="73">
        <v>5271</v>
      </c>
      <c r="AB121" s="74">
        <v>0.85</v>
      </c>
    </row>
    <row r="122" spans="1:28" ht="15.75" customHeight="1" x14ac:dyDescent="0.3">
      <c r="A122" s="71" t="s">
        <v>301</v>
      </c>
      <c r="B122" s="72">
        <v>45196</v>
      </c>
      <c r="C122" s="71" t="s">
        <v>187</v>
      </c>
      <c r="D122" s="71" t="s">
        <v>188</v>
      </c>
      <c r="E122" s="71" t="s">
        <v>100</v>
      </c>
      <c r="F122" s="71" t="s">
        <v>66</v>
      </c>
      <c r="G122" s="71" t="s">
        <v>197</v>
      </c>
      <c r="H122" s="71" t="s">
        <v>198</v>
      </c>
      <c r="I122" s="71" t="s">
        <v>58</v>
      </c>
      <c r="J122" s="71" t="s">
        <v>59</v>
      </c>
      <c r="K122" s="71" t="s">
        <v>189</v>
      </c>
      <c r="L122" s="71" t="s">
        <v>190</v>
      </c>
      <c r="M122" s="71" t="s">
        <v>73</v>
      </c>
      <c r="N122" s="71">
        <v>429</v>
      </c>
      <c r="O122" s="73">
        <v>4090.12</v>
      </c>
      <c r="P122" s="73">
        <f t="shared" si="0"/>
        <v>1754661.48</v>
      </c>
      <c r="Q122" s="71">
        <v>6</v>
      </c>
      <c r="R122" s="71">
        <v>12</v>
      </c>
      <c r="S122" s="71">
        <f t="shared" si="2"/>
        <v>6</v>
      </c>
      <c r="T122" s="71" t="str">
        <f t="shared" si="1"/>
        <v>No</v>
      </c>
      <c r="U122" s="71">
        <v>2053</v>
      </c>
      <c r="V122" s="71">
        <v>597</v>
      </c>
      <c r="W122" s="71">
        <v>765</v>
      </c>
      <c r="X122" s="71">
        <v>12</v>
      </c>
      <c r="Y122" s="71">
        <v>18</v>
      </c>
      <c r="Z122" s="73">
        <v>2847.27</v>
      </c>
      <c r="AA122" s="73">
        <v>2421</v>
      </c>
      <c r="AB122" s="74">
        <v>0.7</v>
      </c>
    </row>
    <row r="123" spans="1:28" ht="15.75" customHeight="1" x14ac:dyDescent="0.3">
      <c r="A123" s="71" t="s">
        <v>302</v>
      </c>
      <c r="B123" s="72">
        <v>45197</v>
      </c>
      <c r="C123" s="71" t="s">
        <v>41</v>
      </c>
      <c r="D123" s="71" t="s">
        <v>42</v>
      </c>
      <c r="E123" s="71" t="s">
        <v>43</v>
      </c>
      <c r="F123" s="71" t="s">
        <v>66</v>
      </c>
      <c r="G123" s="71" t="s">
        <v>114</v>
      </c>
      <c r="H123" s="71" t="s">
        <v>115</v>
      </c>
      <c r="I123" s="71" t="s">
        <v>58</v>
      </c>
      <c r="J123" s="71" t="s">
        <v>90</v>
      </c>
      <c r="K123" s="71" t="s">
        <v>108</v>
      </c>
      <c r="L123" s="71" t="s">
        <v>109</v>
      </c>
      <c r="M123" s="71" t="s">
        <v>62</v>
      </c>
      <c r="N123" s="71">
        <v>567</v>
      </c>
      <c r="O123" s="73">
        <v>11952.53</v>
      </c>
      <c r="P123" s="73">
        <f t="shared" si="0"/>
        <v>6777084.5100000007</v>
      </c>
      <c r="Q123" s="71">
        <v>9</v>
      </c>
      <c r="R123" s="71">
        <v>11</v>
      </c>
      <c r="S123" s="71">
        <f t="shared" si="2"/>
        <v>2</v>
      </c>
      <c r="T123" s="71" t="str">
        <f t="shared" si="1"/>
        <v>No</v>
      </c>
      <c r="U123" s="71">
        <v>602</v>
      </c>
      <c r="V123" s="71">
        <v>218</v>
      </c>
      <c r="W123" s="71">
        <v>199</v>
      </c>
      <c r="X123" s="71">
        <v>25</v>
      </c>
      <c r="Y123" s="71">
        <v>35</v>
      </c>
      <c r="Z123" s="73">
        <v>7906.87</v>
      </c>
      <c r="AA123" s="73">
        <v>6635</v>
      </c>
      <c r="AB123" s="74">
        <v>0.93</v>
      </c>
    </row>
    <row r="124" spans="1:28" ht="15.75" customHeight="1" x14ac:dyDescent="0.3">
      <c r="A124" s="79" t="s">
        <v>303</v>
      </c>
      <c r="B124" s="80">
        <v>45198</v>
      </c>
      <c r="C124" s="79" t="s">
        <v>169</v>
      </c>
      <c r="D124" s="79" t="s">
        <v>170</v>
      </c>
      <c r="E124" s="79" t="s">
        <v>100</v>
      </c>
      <c r="F124" s="79" t="s">
        <v>66</v>
      </c>
      <c r="G124" s="79" t="s">
        <v>135</v>
      </c>
      <c r="H124" s="79" t="s">
        <v>136</v>
      </c>
      <c r="I124" s="79" t="s">
        <v>137</v>
      </c>
      <c r="J124" s="79" t="s">
        <v>138</v>
      </c>
      <c r="K124" s="79" t="s">
        <v>108</v>
      </c>
      <c r="L124" s="79" t="s">
        <v>109</v>
      </c>
      <c r="M124" s="79" t="s">
        <v>62</v>
      </c>
      <c r="N124" s="79">
        <v>368</v>
      </c>
      <c r="O124" s="81">
        <v>6556.32</v>
      </c>
      <c r="P124" s="81">
        <f t="shared" si="0"/>
        <v>2412725.7599999998</v>
      </c>
      <c r="Q124" s="79">
        <v>8</v>
      </c>
      <c r="R124" s="79">
        <v>6</v>
      </c>
      <c r="S124" s="79">
        <f t="shared" si="2"/>
        <v>0</v>
      </c>
      <c r="T124" s="79" t="str">
        <f t="shared" si="1"/>
        <v>Yes</v>
      </c>
      <c r="U124" s="79">
        <v>217</v>
      </c>
      <c r="V124" s="79">
        <v>280</v>
      </c>
      <c r="W124" s="79">
        <v>367</v>
      </c>
      <c r="X124" s="79">
        <v>15</v>
      </c>
      <c r="Y124" s="79">
        <v>20</v>
      </c>
      <c r="Z124" s="81">
        <v>5204.54</v>
      </c>
      <c r="AA124" s="81">
        <v>7746</v>
      </c>
      <c r="AB124" s="82">
        <v>0.82</v>
      </c>
    </row>
    <row r="125" spans="1:28" ht="15.75" customHeight="1" x14ac:dyDescent="0.3">
      <c r="A125" s="71" t="s">
        <v>304</v>
      </c>
      <c r="B125" s="72">
        <v>45198</v>
      </c>
      <c r="C125" s="71" t="s">
        <v>125</v>
      </c>
      <c r="D125" s="71" t="s">
        <v>126</v>
      </c>
      <c r="E125" s="71" t="s">
        <v>127</v>
      </c>
      <c r="F125" s="71" t="s">
        <v>44</v>
      </c>
      <c r="G125" s="71" t="s">
        <v>135</v>
      </c>
      <c r="H125" s="71" t="s">
        <v>136</v>
      </c>
      <c r="I125" s="71" t="s">
        <v>137</v>
      </c>
      <c r="J125" s="71" t="s">
        <v>138</v>
      </c>
      <c r="K125" s="71" t="s">
        <v>91</v>
      </c>
      <c r="L125" s="71" t="s">
        <v>92</v>
      </c>
      <c r="M125" s="71" t="s">
        <v>51</v>
      </c>
      <c r="N125" s="71">
        <v>675</v>
      </c>
      <c r="O125" s="73">
        <v>2944.25</v>
      </c>
      <c r="P125" s="73">
        <f t="shared" si="0"/>
        <v>1987368.75</v>
      </c>
      <c r="Q125" s="71">
        <v>15</v>
      </c>
      <c r="R125" s="71">
        <v>23</v>
      </c>
      <c r="S125" s="71">
        <f t="shared" si="2"/>
        <v>8</v>
      </c>
      <c r="T125" s="71" t="str">
        <f t="shared" si="1"/>
        <v>No</v>
      </c>
      <c r="U125" s="71">
        <v>2205</v>
      </c>
      <c r="V125" s="71">
        <v>510</v>
      </c>
      <c r="W125" s="71">
        <v>521</v>
      </c>
      <c r="X125" s="71">
        <v>11</v>
      </c>
      <c r="Y125" s="71">
        <v>15</v>
      </c>
      <c r="Z125" s="73">
        <v>2189.77</v>
      </c>
      <c r="AA125" s="73">
        <v>6721</v>
      </c>
      <c r="AB125" s="74">
        <v>0.84</v>
      </c>
    </row>
    <row r="126" spans="1:28" ht="15.75" customHeight="1" x14ac:dyDescent="0.3">
      <c r="A126" s="79" t="s">
        <v>305</v>
      </c>
      <c r="B126" s="80">
        <v>45198</v>
      </c>
      <c r="C126" s="79" t="s">
        <v>120</v>
      </c>
      <c r="D126" s="79" t="s">
        <v>121</v>
      </c>
      <c r="E126" s="79" t="s">
        <v>43</v>
      </c>
      <c r="F126" s="79" t="s">
        <v>66</v>
      </c>
      <c r="G126" s="79" t="s">
        <v>67</v>
      </c>
      <c r="H126" s="79" t="s">
        <v>68</v>
      </c>
      <c r="I126" s="79" t="s">
        <v>69</v>
      </c>
      <c r="J126" s="79" t="s">
        <v>70</v>
      </c>
      <c r="K126" s="79" t="s">
        <v>104</v>
      </c>
      <c r="L126" s="79" t="s">
        <v>105</v>
      </c>
      <c r="M126" s="79" t="s">
        <v>106</v>
      </c>
      <c r="N126" s="79">
        <v>478</v>
      </c>
      <c r="O126" s="81">
        <v>2349.71</v>
      </c>
      <c r="P126" s="81">
        <f t="shared" si="0"/>
        <v>1123161.3800000001</v>
      </c>
      <c r="Q126" s="79">
        <v>29</v>
      </c>
      <c r="R126" s="79">
        <v>28</v>
      </c>
      <c r="S126" s="79">
        <f t="shared" si="2"/>
        <v>0</v>
      </c>
      <c r="T126" s="79" t="str">
        <f t="shared" si="1"/>
        <v>Yes</v>
      </c>
      <c r="U126" s="79">
        <v>58</v>
      </c>
      <c r="V126" s="79">
        <v>406</v>
      </c>
      <c r="W126" s="79">
        <v>608</v>
      </c>
      <c r="X126" s="79">
        <v>6</v>
      </c>
      <c r="Y126" s="79">
        <v>9</v>
      </c>
      <c r="Z126" s="81">
        <v>1877.93</v>
      </c>
      <c r="AA126" s="81">
        <v>1100</v>
      </c>
      <c r="AB126" s="82">
        <v>0.85</v>
      </c>
    </row>
    <row r="127" spans="1:28" ht="15.75" customHeight="1" x14ac:dyDescent="0.3">
      <c r="A127" s="79" t="s">
        <v>306</v>
      </c>
      <c r="B127" s="80">
        <v>45198</v>
      </c>
      <c r="C127" s="79" t="s">
        <v>111</v>
      </c>
      <c r="D127" s="79" t="s">
        <v>112</v>
      </c>
      <c r="E127" s="79" t="s">
        <v>87</v>
      </c>
      <c r="F127" s="79" t="s">
        <v>128</v>
      </c>
      <c r="G127" s="79" t="s">
        <v>130</v>
      </c>
      <c r="H127" s="79" t="s">
        <v>131</v>
      </c>
      <c r="I127" s="79" t="s">
        <v>69</v>
      </c>
      <c r="J127" s="79" t="s">
        <v>70</v>
      </c>
      <c r="K127" s="79" t="s">
        <v>91</v>
      </c>
      <c r="L127" s="79" t="s">
        <v>92</v>
      </c>
      <c r="M127" s="79" t="s">
        <v>51</v>
      </c>
      <c r="N127" s="79">
        <v>856</v>
      </c>
      <c r="O127" s="81">
        <v>914.75</v>
      </c>
      <c r="P127" s="81">
        <f t="shared" si="0"/>
        <v>783026</v>
      </c>
      <c r="Q127" s="79">
        <v>24</v>
      </c>
      <c r="R127" s="79">
        <v>22</v>
      </c>
      <c r="S127" s="79">
        <f t="shared" si="2"/>
        <v>0</v>
      </c>
      <c r="T127" s="79" t="str">
        <f t="shared" si="1"/>
        <v>Yes</v>
      </c>
      <c r="U127" s="79">
        <v>900</v>
      </c>
      <c r="V127" s="79">
        <v>1115</v>
      </c>
      <c r="W127" s="79">
        <v>1147</v>
      </c>
      <c r="X127" s="79">
        <v>4</v>
      </c>
      <c r="Y127" s="79">
        <v>6</v>
      </c>
      <c r="Z127" s="81">
        <v>565.54</v>
      </c>
      <c r="AA127" s="81">
        <v>2533</v>
      </c>
      <c r="AB127" s="82">
        <v>0.97</v>
      </c>
    </row>
    <row r="128" spans="1:28" ht="15.75" customHeight="1" x14ac:dyDescent="0.3">
      <c r="A128" s="79" t="s">
        <v>307</v>
      </c>
      <c r="B128" s="80">
        <v>45201</v>
      </c>
      <c r="C128" s="79" t="s">
        <v>85</v>
      </c>
      <c r="D128" s="79" t="s">
        <v>86</v>
      </c>
      <c r="E128" s="79" t="s">
        <v>87</v>
      </c>
      <c r="F128" s="79" t="s">
        <v>113</v>
      </c>
      <c r="G128" s="79" t="s">
        <v>135</v>
      </c>
      <c r="H128" s="79" t="s">
        <v>136</v>
      </c>
      <c r="I128" s="79" t="s">
        <v>137</v>
      </c>
      <c r="J128" s="79" t="s">
        <v>138</v>
      </c>
      <c r="K128" s="79" t="s">
        <v>81</v>
      </c>
      <c r="L128" s="79" t="s">
        <v>82</v>
      </c>
      <c r="M128" s="79" t="s">
        <v>83</v>
      </c>
      <c r="N128" s="79">
        <v>767</v>
      </c>
      <c r="O128" s="81">
        <v>319.17</v>
      </c>
      <c r="P128" s="81">
        <f t="shared" si="0"/>
        <v>244803.39</v>
      </c>
      <c r="Q128" s="79">
        <v>16</v>
      </c>
      <c r="R128" s="79">
        <v>13</v>
      </c>
      <c r="S128" s="79">
        <f t="shared" si="2"/>
        <v>0</v>
      </c>
      <c r="T128" s="79" t="str">
        <f t="shared" si="1"/>
        <v>Yes</v>
      </c>
      <c r="U128" s="79">
        <v>41</v>
      </c>
      <c r="V128" s="79">
        <v>1098</v>
      </c>
      <c r="W128" s="79">
        <v>1220</v>
      </c>
      <c r="X128" s="79">
        <v>2</v>
      </c>
      <c r="Y128" s="79">
        <v>4</v>
      </c>
      <c r="Z128" s="81">
        <v>240.1</v>
      </c>
      <c r="AA128" s="81">
        <v>1337</v>
      </c>
      <c r="AB128" s="82">
        <v>0.74</v>
      </c>
    </row>
    <row r="129" spans="1:28" ht="15.75" customHeight="1" x14ac:dyDescent="0.3">
      <c r="A129" s="75" t="s">
        <v>308</v>
      </c>
      <c r="B129" s="76">
        <v>45203</v>
      </c>
      <c r="C129" s="75" t="s">
        <v>155</v>
      </c>
      <c r="D129" s="75" t="s">
        <v>156</v>
      </c>
      <c r="E129" s="75" t="s">
        <v>87</v>
      </c>
      <c r="F129" s="75" t="s">
        <v>44</v>
      </c>
      <c r="G129" s="75" t="s">
        <v>135</v>
      </c>
      <c r="H129" s="75" t="s">
        <v>136</v>
      </c>
      <c r="I129" s="75" t="s">
        <v>137</v>
      </c>
      <c r="J129" s="75" t="s">
        <v>138</v>
      </c>
      <c r="K129" s="75" t="s">
        <v>81</v>
      </c>
      <c r="L129" s="75" t="s">
        <v>82</v>
      </c>
      <c r="M129" s="75" t="s">
        <v>83</v>
      </c>
      <c r="N129" s="75">
        <v>438</v>
      </c>
      <c r="O129" s="77">
        <v>199.38</v>
      </c>
      <c r="P129" s="77">
        <f t="shared" si="0"/>
        <v>87328.44</v>
      </c>
      <c r="Q129" s="75">
        <v>8</v>
      </c>
      <c r="R129" s="75">
        <v>17</v>
      </c>
      <c r="S129" s="75">
        <f t="shared" si="2"/>
        <v>9</v>
      </c>
      <c r="T129" s="75" t="str">
        <f t="shared" si="1"/>
        <v>No</v>
      </c>
      <c r="U129" s="75">
        <v>502</v>
      </c>
      <c r="V129" s="75">
        <v>279</v>
      </c>
      <c r="W129" s="75">
        <v>376</v>
      </c>
      <c r="X129" s="75">
        <v>2.5</v>
      </c>
      <c r="Y129" s="75">
        <v>4</v>
      </c>
      <c r="Z129" s="77">
        <v>139.47999999999999</v>
      </c>
      <c r="AA129" s="77">
        <v>5488</v>
      </c>
      <c r="AB129" s="78">
        <v>0.76</v>
      </c>
    </row>
    <row r="130" spans="1:28" ht="15.75" customHeight="1" x14ac:dyDescent="0.3">
      <c r="A130" s="71" t="s">
        <v>309</v>
      </c>
      <c r="B130" s="72">
        <v>45205</v>
      </c>
      <c r="C130" s="71" t="s">
        <v>120</v>
      </c>
      <c r="D130" s="71" t="s">
        <v>121</v>
      </c>
      <c r="E130" s="71" t="s">
        <v>43</v>
      </c>
      <c r="F130" s="71" t="s">
        <v>113</v>
      </c>
      <c r="G130" s="71" t="s">
        <v>171</v>
      </c>
      <c r="H130" s="71" t="s">
        <v>172</v>
      </c>
      <c r="I130" s="71" t="s">
        <v>58</v>
      </c>
      <c r="J130" s="71" t="s">
        <v>90</v>
      </c>
      <c r="K130" s="71" t="s">
        <v>60</v>
      </c>
      <c r="L130" s="71" t="s">
        <v>61</v>
      </c>
      <c r="M130" s="71" t="s">
        <v>62</v>
      </c>
      <c r="N130" s="71">
        <v>674</v>
      </c>
      <c r="O130" s="73">
        <v>2691.67</v>
      </c>
      <c r="P130" s="73">
        <f t="shared" si="0"/>
        <v>1814185.58</v>
      </c>
      <c r="Q130" s="71">
        <v>10</v>
      </c>
      <c r="R130" s="71">
        <v>8</v>
      </c>
      <c r="S130" s="71">
        <f t="shared" si="2"/>
        <v>0</v>
      </c>
      <c r="T130" s="71" t="str">
        <f t="shared" si="1"/>
        <v>Yes</v>
      </c>
      <c r="U130" s="71">
        <v>2871</v>
      </c>
      <c r="V130" s="71">
        <v>789</v>
      </c>
      <c r="W130" s="71">
        <v>1173</v>
      </c>
      <c r="X130" s="71">
        <v>6</v>
      </c>
      <c r="Y130" s="71">
        <v>9</v>
      </c>
      <c r="Z130" s="73">
        <v>2069.5500000000002</v>
      </c>
      <c r="AA130" s="73">
        <v>1349</v>
      </c>
      <c r="AB130" s="74">
        <v>0.82</v>
      </c>
    </row>
    <row r="131" spans="1:28" ht="15.75" customHeight="1" x14ac:dyDescent="0.3">
      <c r="A131" s="79" t="s">
        <v>310</v>
      </c>
      <c r="B131" s="80">
        <v>45207</v>
      </c>
      <c r="C131" s="79" t="s">
        <v>120</v>
      </c>
      <c r="D131" s="79" t="s">
        <v>121</v>
      </c>
      <c r="E131" s="79" t="s">
        <v>43</v>
      </c>
      <c r="F131" s="79" t="s">
        <v>55</v>
      </c>
      <c r="G131" s="79" t="s">
        <v>311</v>
      </c>
      <c r="H131" s="79" t="s">
        <v>312</v>
      </c>
      <c r="I131" s="79" t="s">
        <v>58</v>
      </c>
      <c r="J131" s="79" t="s">
        <v>96</v>
      </c>
      <c r="K131" s="79" t="s">
        <v>60</v>
      </c>
      <c r="L131" s="79" t="s">
        <v>61</v>
      </c>
      <c r="M131" s="79" t="s">
        <v>62</v>
      </c>
      <c r="N131" s="79">
        <v>834</v>
      </c>
      <c r="O131" s="81">
        <v>2240.02</v>
      </c>
      <c r="P131" s="81">
        <f t="shared" si="0"/>
        <v>1868176.68</v>
      </c>
      <c r="Q131" s="79">
        <v>18</v>
      </c>
      <c r="R131" s="79">
        <v>26</v>
      </c>
      <c r="S131" s="79">
        <f t="shared" si="2"/>
        <v>8</v>
      </c>
      <c r="T131" s="79" t="str">
        <f t="shared" si="1"/>
        <v>No</v>
      </c>
      <c r="U131" s="79">
        <v>1244</v>
      </c>
      <c r="V131" s="79">
        <v>1093</v>
      </c>
      <c r="W131" s="79">
        <v>1293</v>
      </c>
      <c r="X131" s="79">
        <v>6</v>
      </c>
      <c r="Y131" s="79">
        <v>9</v>
      </c>
      <c r="Z131" s="81">
        <v>1484.65</v>
      </c>
      <c r="AA131" s="81">
        <v>6536</v>
      </c>
      <c r="AB131" s="82">
        <v>0.96</v>
      </c>
    </row>
    <row r="132" spans="1:28" ht="15.75" customHeight="1" x14ac:dyDescent="0.3">
      <c r="A132" s="71" t="s">
        <v>313</v>
      </c>
      <c r="B132" s="72">
        <v>45208</v>
      </c>
      <c r="C132" s="71" t="s">
        <v>117</v>
      </c>
      <c r="D132" s="71" t="s">
        <v>118</v>
      </c>
      <c r="E132" s="71" t="s">
        <v>87</v>
      </c>
      <c r="F132" s="71" t="s">
        <v>128</v>
      </c>
      <c r="G132" s="71" t="s">
        <v>135</v>
      </c>
      <c r="H132" s="71" t="s">
        <v>136</v>
      </c>
      <c r="I132" s="71" t="s">
        <v>137</v>
      </c>
      <c r="J132" s="71" t="s">
        <v>138</v>
      </c>
      <c r="K132" s="71" t="s">
        <v>91</v>
      </c>
      <c r="L132" s="71" t="s">
        <v>92</v>
      </c>
      <c r="M132" s="71" t="s">
        <v>51</v>
      </c>
      <c r="N132" s="71">
        <v>250</v>
      </c>
      <c r="O132" s="73">
        <v>2129.44</v>
      </c>
      <c r="P132" s="73">
        <f t="shared" si="0"/>
        <v>532360</v>
      </c>
      <c r="Q132" s="71">
        <v>15</v>
      </c>
      <c r="R132" s="71">
        <v>16</v>
      </c>
      <c r="S132" s="71">
        <f t="shared" si="2"/>
        <v>1</v>
      </c>
      <c r="T132" s="71" t="str">
        <f t="shared" si="1"/>
        <v>No</v>
      </c>
      <c r="U132" s="71">
        <v>586</v>
      </c>
      <c r="V132" s="71">
        <v>120</v>
      </c>
      <c r="W132" s="71">
        <v>128</v>
      </c>
      <c r="X132" s="71">
        <v>7</v>
      </c>
      <c r="Y132" s="71">
        <v>10</v>
      </c>
      <c r="Z132" s="73">
        <v>1342.74</v>
      </c>
      <c r="AA132" s="73">
        <v>2252</v>
      </c>
      <c r="AB132" s="74">
        <v>0.72</v>
      </c>
    </row>
    <row r="133" spans="1:28" ht="15.75" customHeight="1" x14ac:dyDescent="0.3">
      <c r="A133" s="71" t="s">
        <v>314</v>
      </c>
      <c r="B133" s="72">
        <v>45210</v>
      </c>
      <c r="C133" s="71" t="s">
        <v>64</v>
      </c>
      <c r="D133" s="71" t="s">
        <v>65</v>
      </c>
      <c r="E133" s="71" t="s">
        <v>43</v>
      </c>
      <c r="F133" s="71" t="s">
        <v>66</v>
      </c>
      <c r="G133" s="71" t="s">
        <v>101</v>
      </c>
      <c r="H133" s="71" t="s">
        <v>102</v>
      </c>
      <c r="I133" s="71" t="s">
        <v>69</v>
      </c>
      <c r="J133" s="71" t="s">
        <v>103</v>
      </c>
      <c r="K133" s="71" t="s">
        <v>49</v>
      </c>
      <c r="L133" s="71" t="s">
        <v>50</v>
      </c>
      <c r="M133" s="71" t="s">
        <v>51</v>
      </c>
      <c r="N133" s="71">
        <v>624</v>
      </c>
      <c r="O133" s="73">
        <v>486.13</v>
      </c>
      <c r="P133" s="73">
        <f t="shared" si="0"/>
        <v>303345.12</v>
      </c>
      <c r="Q133" s="71">
        <v>14</v>
      </c>
      <c r="R133" s="71">
        <v>20</v>
      </c>
      <c r="S133" s="71">
        <f t="shared" si="2"/>
        <v>6</v>
      </c>
      <c r="T133" s="71" t="str">
        <f t="shared" si="1"/>
        <v>No</v>
      </c>
      <c r="U133" s="71">
        <v>1255</v>
      </c>
      <c r="V133" s="71">
        <v>341</v>
      </c>
      <c r="W133" s="71">
        <v>417</v>
      </c>
      <c r="X133" s="71">
        <v>3</v>
      </c>
      <c r="Y133" s="71">
        <v>5</v>
      </c>
      <c r="Z133" s="73">
        <v>310.02</v>
      </c>
      <c r="AA133" s="73">
        <v>3709</v>
      </c>
      <c r="AB133" s="74">
        <v>0.78</v>
      </c>
    </row>
    <row r="134" spans="1:28" ht="15.75" customHeight="1" x14ac:dyDescent="0.3">
      <c r="A134" s="79" t="s">
        <v>315</v>
      </c>
      <c r="B134" s="80">
        <v>45216</v>
      </c>
      <c r="C134" s="79" t="s">
        <v>120</v>
      </c>
      <c r="D134" s="79" t="s">
        <v>121</v>
      </c>
      <c r="E134" s="79" t="s">
        <v>43</v>
      </c>
      <c r="F134" s="79" t="s">
        <v>113</v>
      </c>
      <c r="G134" s="79" t="s">
        <v>101</v>
      </c>
      <c r="H134" s="79" t="s">
        <v>102</v>
      </c>
      <c r="I134" s="79" t="s">
        <v>69</v>
      </c>
      <c r="J134" s="79" t="s">
        <v>103</v>
      </c>
      <c r="K134" s="79" t="s">
        <v>104</v>
      </c>
      <c r="L134" s="79" t="s">
        <v>105</v>
      </c>
      <c r="M134" s="79" t="s">
        <v>106</v>
      </c>
      <c r="N134" s="79">
        <v>325</v>
      </c>
      <c r="O134" s="81">
        <v>2316.94</v>
      </c>
      <c r="P134" s="81">
        <f t="shared" si="0"/>
        <v>753005.5</v>
      </c>
      <c r="Q134" s="79">
        <v>21</v>
      </c>
      <c r="R134" s="79">
        <v>27</v>
      </c>
      <c r="S134" s="79">
        <f t="shared" si="2"/>
        <v>6</v>
      </c>
      <c r="T134" s="79" t="str">
        <f t="shared" si="1"/>
        <v>No</v>
      </c>
      <c r="U134" s="79">
        <v>423</v>
      </c>
      <c r="V134" s="79">
        <v>410</v>
      </c>
      <c r="W134" s="79">
        <v>535</v>
      </c>
      <c r="X134" s="79">
        <v>6</v>
      </c>
      <c r="Y134" s="79">
        <v>9</v>
      </c>
      <c r="Z134" s="81">
        <v>1743.09</v>
      </c>
      <c r="AA134" s="81">
        <v>3123</v>
      </c>
      <c r="AB134" s="82">
        <v>0.96</v>
      </c>
    </row>
    <row r="135" spans="1:28" ht="15.75" customHeight="1" x14ac:dyDescent="0.3">
      <c r="A135" s="79" t="s">
        <v>316</v>
      </c>
      <c r="B135" s="80">
        <v>45217</v>
      </c>
      <c r="C135" s="79" t="s">
        <v>125</v>
      </c>
      <c r="D135" s="79" t="s">
        <v>126</v>
      </c>
      <c r="E135" s="79" t="s">
        <v>127</v>
      </c>
      <c r="F135" s="79" t="s">
        <v>44</v>
      </c>
      <c r="G135" s="79" t="s">
        <v>166</v>
      </c>
      <c r="H135" s="79" t="s">
        <v>167</v>
      </c>
      <c r="I135" s="79" t="s">
        <v>69</v>
      </c>
      <c r="J135" s="79" t="s">
        <v>103</v>
      </c>
      <c r="K135" s="79" t="s">
        <v>71</v>
      </c>
      <c r="L135" s="79" t="s">
        <v>72</v>
      </c>
      <c r="M135" s="79" t="s">
        <v>73</v>
      </c>
      <c r="N135" s="79">
        <v>589</v>
      </c>
      <c r="O135" s="81">
        <v>3561.94</v>
      </c>
      <c r="P135" s="81">
        <f t="shared" si="0"/>
        <v>2097982.66</v>
      </c>
      <c r="Q135" s="79">
        <v>30</v>
      </c>
      <c r="R135" s="79">
        <v>38</v>
      </c>
      <c r="S135" s="79">
        <f t="shared" si="2"/>
        <v>8</v>
      </c>
      <c r="T135" s="79" t="str">
        <f t="shared" si="1"/>
        <v>No</v>
      </c>
      <c r="U135" s="79">
        <v>218</v>
      </c>
      <c r="V135" s="79">
        <v>209</v>
      </c>
      <c r="W135" s="79">
        <v>258</v>
      </c>
      <c r="X135" s="79">
        <v>11</v>
      </c>
      <c r="Y135" s="79">
        <v>15</v>
      </c>
      <c r="Z135" s="81">
        <v>2733.22</v>
      </c>
      <c r="AA135" s="81">
        <v>633</v>
      </c>
      <c r="AB135" s="82">
        <v>0.73</v>
      </c>
    </row>
    <row r="136" spans="1:28" ht="15.75" customHeight="1" x14ac:dyDescent="0.3">
      <c r="A136" s="71" t="s">
        <v>317</v>
      </c>
      <c r="B136" s="72">
        <v>45219</v>
      </c>
      <c r="C136" s="71" t="s">
        <v>75</v>
      </c>
      <c r="D136" s="71" t="s">
        <v>76</v>
      </c>
      <c r="E136" s="71" t="s">
        <v>77</v>
      </c>
      <c r="F136" s="71" t="s">
        <v>128</v>
      </c>
      <c r="G136" s="71" t="s">
        <v>251</v>
      </c>
      <c r="H136" s="71" t="s">
        <v>252</v>
      </c>
      <c r="I136" s="71" t="s">
        <v>137</v>
      </c>
      <c r="J136" s="71" t="s">
        <v>138</v>
      </c>
      <c r="K136" s="71" t="s">
        <v>81</v>
      </c>
      <c r="L136" s="71" t="s">
        <v>82</v>
      </c>
      <c r="M136" s="71" t="s">
        <v>83</v>
      </c>
      <c r="N136" s="71">
        <v>451</v>
      </c>
      <c r="O136" s="73">
        <v>79.349999999999994</v>
      </c>
      <c r="P136" s="73">
        <f t="shared" si="0"/>
        <v>35786.85</v>
      </c>
      <c r="Q136" s="71">
        <v>13</v>
      </c>
      <c r="R136" s="71">
        <v>17</v>
      </c>
      <c r="S136" s="71">
        <f t="shared" si="2"/>
        <v>4</v>
      </c>
      <c r="T136" s="71" t="str">
        <f t="shared" si="1"/>
        <v>No</v>
      </c>
      <c r="U136" s="71">
        <v>1518</v>
      </c>
      <c r="V136" s="71">
        <v>159</v>
      </c>
      <c r="W136" s="71">
        <v>132</v>
      </c>
      <c r="X136" s="71">
        <v>2</v>
      </c>
      <c r="Y136" s="71">
        <v>3</v>
      </c>
      <c r="Z136" s="73">
        <v>56.52</v>
      </c>
      <c r="AA136" s="73">
        <v>3469</v>
      </c>
      <c r="AB136" s="74">
        <v>0.85</v>
      </c>
    </row>
    <row r="137" spans="1:28" ht="15.75" customHeight="1" x14ac:dyDescent="0.3">
      <c r="A137" s="75" t="s">
        <v>318</v>
      </c>
      <c r="B137" s="76">
        <v>45221</v>
      </c>
      <c r="C137" s="75" t="s">
        <v>75</v>
      </c>
      <c r="D137" s="75" t="s">
        <v>76</v>
      </c>
      <c r="E137" s="75" t="s">
        <v>77</v>
      </c>
      <c r="F137" s="75" t="s">
        <v>66</v>
      </c>
      <c r="G137" s="75" t="s">
        <v>175</v>
      </c>
      <c r="H137" s="75" t="s">
        <v>176</v>
      </c>
      <c r="I137" s="75" t="s">
        <v>58</v>
      </c>
      <c r="J137" s="75" t="s">
        <v>59</v>
      </c>
      <c r="K137" s="75" t="s">
        <v>60</v>
      </c>
      <c r="L137" s="75" t="s">
        <v>61</v>
      </c>
      <c r="M137" s="75" t="s">
        <v>62</v>
      </c>
      <c r="N137" s="75">
        <v>977</v>
      </c>
      <c r="O137" s="77">
        <v>83.84</v>
      </c>
      <c r="P137" s="77">
        <f t="shared" si="0"/>
        <v>81911.680000000008</v>
      </c>
      <c r="Q137" s="75">
        <v>23</v>
      </c>
      <c r="R137" s="75">
        <v>31</v>
      </c>
      <c r="S137" s="75">
        <f t="shared" si="2"/>
        <v>8</v>
      </c>
      <c r="T137" s="75" t="str">
        <f t="shared" si="1"/>
        <v>No</v>
      </c>
      <c r="U137" s="75">
        <v>1757</v>
      </c>
      <c r="V137" s="75">
        <v>1102</v>
      </c>
      <c r="W137" s="75">
        <v>1234</v>
      </c>
      <c r="X137" s="75">
        <v>2</v>
      </c>
      <c r="Y137" s="75">
        <v>3</v>
      </c>
      <c r="Z137" s="77">
        <v>55.37</v>
      </c>
      <c r="AA137" s="77">
        <v>3651</v>
      </c>
      <c r="AB137" s="78">
        <v>0.94</v>
      </c>
    </row>
    <row r="138" spans="1:28" ht="15.75" customHeight="1" x14ac:dyDescent="0.3">
      <c r="A138" s="71" t="s">
        <v>319</v>
      </c>
      <c r="B138" s="72">
        <v>45222</v>
      </c>
      <c r="C138" s="71" t="s">
        <v>117</v>
      </c>
      <c r="D138" s="71" t="s">
        <v>118</v>
      </c>
      <c r="E138" s="71" t="s">
        <v>87</v>
      </c>
      <c r="F138" s="71" t="s">
        <v>128</v>
      </c>
      <c r="G138" s="71" t="s">
        <v>178</v>
      </c>
      <c r="H138" s="71" t="s">
        <v>179</v>
      </c>
      <c r="I138" s="71" t="s">
        <v>58</v>
      </c>
      <c r="J138" s="71" t="s">
        <v>59</v>
      </c>
      <c r="K138" s="71" t="s">
        <v>91</v>
      </c>
      <c r="L138" s="71" t="s">
        <v>92</v>
      </c>
      <c r="M138" s="71" t="s">
        <v>51</v>
      </c>
      <c r="N138" s="71">
        <v>726</v>
      </c>
      <c r="O138" s="73">
        <v>2201.38</v>
      </c>
      <c r="P138" s="73">
        <f t="shared" si="0"/>
        <v>1598201.8800000001</v>
      </c>
      <c r="Q138" s="71">
        <v>13</v>
      </c>
      <c r="R138" s="71">
        <v>21</v>
      </c>
      <c r="S138" s="71">
        <f t="shared" si="2"/>
        <v>8</v>
      </c>
      <c r="T138" s="71" t="str">
        <f t="shared" si="1"/>
        <v>No</v>
      </c>
      <c r="U138" s="71">
        <v>2042</v>
      </c>
      <c r="V138" s="71">
        <v>599</v>
      </c>
      <c r="W138" s="71">
        <v>729</v>
      </c>
      <c r="X138" s="71">
        <v>7</v>
      </c>
      <c r="Y138" s="71">
        <v>10</v>
      </c>
      <c r="Z138" s="73">
        <v>1712.42</v>
      </c>
      <c r="AA138" s="73">
        <v>6517</v>
      </c>
      <c r="AB138" s="74">
        <v>0.79</v>
      </c>
    </row>
    <row r="139" spans="1:28" ht="15.75" customHeight="1" x14ac:dyDescent="0.3">
      <c r="A139" s="79" t="s">
        <v>320</v>
      </c>
      <c r="B139" s="80">
        <v>45225</v>
      </c>
      <c r="C139" s="79" t="s">
        <v>241</v>
      </c>
      <c r="D139" s="79" t="s">
        <v>242</v>
      </c>
      <c r="E139" s="79" t="s">
        <v>100</v>
      </c>
      <c r="F139" s="79" t="s">
        <v>113</v>
      </c>
      <c r="G139" s="79" t="s">
        <v>56</v>
      </c>
      <c r="H139" s="79" t="s">
        <v>57</v>
      </c>
      <c r="I139" s="79" t="s">
        <v>58</v>
      </c>
      <c r="J139" s="79" t="s">
        <v>59</v>
      </c>
      <c r="K139" s="79" t="s">
        <v>108</v>
      </c>
      <c r="L139" s="79" t="s">
        <v>109</v>
      </c>
      <c r="M139" s="79" t="s">
        <v>62</v>
      </c>
      <c r="N139" s="79">
        <v>752</v>
      </c>
      <c r="O139" s="81">
        <v>1687.93</v>
      </c>
      <c r="P139" s="81">
        <f t="shared" si="0"/>
        <v>1269323.3600000001</v>
      </c>
      <c r="Q139" s="79">
        <v>12</v>
      </c>
      <c r="R139" s="79">
        <v>20</v>
      </c>
      <c r="S139" s="79">
        <f t="shared" si="2"/>
        <v>8</v>
      </c>
      <c r="T139" s="79" t="str">
        <f t="shared" si="1"/>
        <v>No</v>
      </c>
      <c r="U139" s="79">
        <v>714</v>
      </c>
      <c r="V139" s="79">
        <v>844</v>
      </c>
      <c r="W139" s="79">
        <v>775</v>
      </c>
      <c r="X139" s="79">
        <v>5</v>
      </c>
      <c r="Y139" s="79">
        <v>7</v>
      </c>
      <c r="Z139" s="81">
        <v>1103.54</v>
      </c>
      <c r="AA139" s="81">
        <v>2698</v>
      </c>
      <c r="AB139" s="82">
        <v>0.84</v>
      </c>
    </row>
    <row r="140" spans="1:28" ht="15.75" customHeight="1" x14ac:dyDescent="0.3">
      <c r="A140" s="71" t="s">
        <v>321</v>
      </c>
      <c r="B140" s="72">
        <v>45225</v>
      </c>
      <c r="C140" s="71" t="s">
        <v>64</v>
      </c>
      <c r="D140" s="71" t="s">
        <v>65</v>
      </c>
      <c r="E140" s="71" t="s">
        <v>43</v>
      </c>
      <c r="F140" s="71" t="s">
        <v>113</v>
      </c>
      <c r="G140" s="71" t="s">
        <v>67</v>
      </c>
      <c r="H140" s="71" t="s">
        <v>68</v>
      </c>
      <c r="I140" s="71" t="s">
        <v>69</v>
      </c>
      <c r="J140" s="71" t="s">
        <v>70</v>
      </c>
      <c r="K140" s="71" t="s">
        <v>60</v>
      </c>
      <c r="L140" s="71" t="s">
        <v>61</v>
      </c>
      <c r="M140" s="71" t="s">
        <v>62</v>
      </c>
      <c r="N140" s="71">
        <v>152</v>
      </c>
      <c r="O140" s="73">
        <v>476.25</v>
      </c>
      <c r="P140" s="73">
        <f t="shared" si="0"/>
        <v>72390</v>
      </c>
      <c r="Q140" s="71">
        <v>12</v>
      </c>
      <c r="R140" s="71">
        <v>20</v>
      </c>
      <c r="S140" s="71">
        <f t="shared" si="2"/>
        <v>8</v>
      </c>
      <c r="T140" s="71" t="str">
        <f t="shared" si="1"/>
        <v>No</v>
      </c>
      <c r="U140" s="71">
        <v>651</v>
      </c>
      <c r="V140" s="71">
        <v>176</v>
      </c>
      <c r="W140" s="71">
        <v>238</v>
      </c>
      <c r="X140" s="71">
        <v>3</v>
      </c>
      <c r="Y140" s="71">
        <v>5</v>
      </c>
      <c r="Z140" s="73">
        <v>292.8</v>
      </c>
      <c r="AA140" s="73">
        <v>5398</v>
      </c>
      <c r="AB140" s="74">
        <v>0.83</v>
      </c>
    </row>
    <row r="141" spans="1:28" ht="15.75" customHeight="1" x14ac:dyDescent="0.3">
      <c r="A141" s="71" t="s">
        <v>322</v>
      </c>
      <c r="B141" s="72">
        <v>45229</v>
      </c>
      <c r="C141" s="71" t="s">
        <v>111</v>
      </c>
      <c r="D141" s="71" t="s">
        <v>112</v>
      </c>
      <c r="E141" s="71" t="s">
        <v>87</v>
      </c>
      <c r="F141" s="71" t="s">
        <v>44</v>
      </c>
      <c r="G141" s="71" t="s">
        <v>56</v>
      </c>
      <c r="H141" s="71" t="s">
        <v>57</v>
      </c>
      <c r="I141" s="71" t="s">
        <v>58</v>
      </c>
      <c r="J141" s="71" t="s">
        <v>59</v>
      </c>
      <c r="K141" s="71" t="s">
        <v>81</v>
      </c>
      <c r="L141" s="71" t="s">
        <v>82</v>
      </c>
      <c r="M141" s="71" t="s">
        <v>83</v>
      </c>
      <c r="N141" s="71">
        <v>687</v>
      </c>
      <c r="O141" s="73">
        <v>836.56</v>
      </c>
      <c r="P141" s="73">
        <f t="shared" si="0"/>
        <v>574716.72</v>
      </c>
      <c r="Q141" s="71">
        <v>29</v>
      </c>
      <c r="R141" s="71">
        <v>31</v>
      </c>
      <c r="S141" s="71">
        <f t="shared" si="2"/>
        <v>2</v>
      </c>
      <c r="T141" s="71" t="str">
        <f t="shared" si="1"/>
        <v>No</v>
      </c>
      <c r="U141" s="71">
        <v>2466</v>
      </c>
      <c r="V141" s="71">
        <v>516</v>
      </c>
      <c r="W141" s="71">
        <v>471</v>
      </c>
      <c r="X141" s="71">
        <v>4</v>
      </c>
      <c r="Y141" s="71">
        <v>6</v>
      </c>
      <c r="Z141" s="73">
        <v>641.03</v>
      </c>
      <c r="AA141" s="73">
        <v>6816</v>
      </c>
      <c r="AB141" s="74">
        <v>0.87</v>
      </c>
    </row>
    <row r="142" spans="1:28" ht="15.75" customHeight="1" x14ac:dyDescent="0.3">
      <c r="A142" s="71" t="s">
        <v>323</v>
      </c>
      <c r="B142" s="72">
        <v>45230</v>
      </c>
      <c r="C142" s="71" t="s">
        <v>221</v>
      </c>
      <c r="D142" s="71" t="s">
        <v>222</v>
      </c>
      <c r="E142" s="71" t="s">
        <v>77</v>
      </c>
      <c r="F142" s="71" t="s">
        <v>113</v>
      </c>
      <c r="G142" s="71" t="s">
        <v>229</v>
      </c>
      <c r="H142" s="71" t="s">
        <v>230</v>
      </c>
      <c r="I142" s="71" t="s">
        <v>69</v>
      </c>
      <c r="J142" s="71" t="s">
        <v>70</v>
      </c>
      <c r="K142" s="71" t="s">
        <v>81</v>
      </c>
      <c r="L142" s="71" t="s">
        <v>82</v>
      </c>
      <c r="M142" s="71" t="s">
        <v>83</v>
      </c>
      <c r="N142" s="71">
        <v>842</v>
      </c>
      <c r="O142" s="73">
        <v>26.42</v>
      </c>
      <c r="P142" s="73">
        <f t="shared" si="0"/>
        <v>22245.640000000003</v>
      </c>
      <c r="Q142" s="71">
        <v>6</v>
      </c>
      <c r="R142" s="71">
        <v>9</v>
      </c>
      <c r="S142" s="71">
        <f t="shared" si="2"/>
        <v>3</v>
      </c>
      <c r="T142" s="71" t="str">
        <f t="shared" si="1"/>
        <v>No</v>
      </c>
      <c r="U142" s="71">
        <v>2792</v>
      </c>
      <c r="V142" s="71">
        <v>568</v>
      </c>
      <c r="W142" s="71">
        <v>748</v>
      </c>
      <c r="X142" s="71">
        <v>1.2</v>
      </c>
      <c r="Y142" s="71">
        <v>2</v>
      </c>
      <c r="Z142" s="73">
        <v>16.36</v>
      </c>
      <c r="AA142" s="73">
        <v>6711</v>
      </c>
      <c r="AB142" s="74">
        <v>0.95</v>
      </c>
    </row>
    <row r="143" spans="1:28" ht="15.75" customHeight="1" x14ac:dyDescent="0.3">
      <c r="A143" s="71" t="s">
        <v>324</v>
      </c>
      <c r="B143" s="72">
        <v>45231</v>
      </c>
      <c r="C143" s="71" t="s">
        <v>161</v>
      </c>
      <c r="D143" s="71" t="s">
        <v>162</v>
      </c>
      <c r="E143" s="71" t="s">
        <v>77</v>
      </c>
      <c r="F143" s="71" t="s">
        <v>128</v>
      </c>
      <c r="G143" s="71" t="s">
        <v>229</v>
      </c>
      <c r="H143" s="71" t="s">
        <v>230</v>
      </c>
      <c r="I143" s="71" t="s">
        <v>69</v>
      </c>
      <c r="J143" s="71" t="s">
        <v>70</v>
      </c>
      <c r="K143" s="71" t="s">
        <v>60</v>
      </c>
      <c r="L143" s="71" t="s">
        <v>61</v>
      </c>
      <c r="M143" s="71" t="s">
        <v>62</v>
      </c>
      <c r="N143" s="71">
        <v>595</v>
      </c>
      <c r="O143" s="73">
        <v>46.68</v>
      </c>
      <c r="P143" s="73">
        <f t="shared" si="0"/>
        <v>27774.6</v>
      </c>
      <c r="Q143" s="71">
        <v>20</v>
      </c>
      <c r="R143" s="71">
        <v>17</v>
      </c>
      <c r="S143" s="71">
        <f t="shared" si="2"/>
        <v>0</v>
      </c>
      <c r="T143" s="71" t="str">
        <f t="shared" si="1"/>
        <v>Yes</v>
      </c>
      <c r="U143" s="71">
        <v>1497</v>
      </c>
      <c r="V143" s="71">
        <v>181</v>
      </c>
      <c r="W143" s="71">
        <v>155</v>
      </c>
      <c r="X143" s="71">
        <v>1.5</v>
      </c>
      <c r="Y143" s="71">
        <v>2</v>
      </c>
      <c r="Z143" s="73">
        <v>35.700000000000003</v>
      </c>
      <c r="AA143" s="73">
        <v>5620</v>
      </c>
      <c r="AB143" s="74">
        <v>0.87</v>
      </c>
    </row>
    <row r="144" spans="1:28" ht="15.75" customHeight="1" x14ac:dyDescent="0.3">
      <c r="A144" s="71" t="s">
        <v>325</v>
      </c>
      <c r="B144" s="72">
        <v>45233</v>
      </c>
      <c r="C144" s="71" t="s">
        <v>85</v>
      </c>
      <c r="D144" s="71" t="s">
        <v>86</v>
      </c>
      <c r="E144" s="71" t="s">
        <v>87</v>
      </c>
      <c r="F144" s="71" t="s">
        <v>113</v>
      </c>
      <c r="G144" s="71" t="s">
        <v>56</v>
      </c>
      <c r="H144" s="71" t="s">
        <v>57</v>
      </c>
      <c r="I144" s="71" t="s">
        <v>58</v>
      </c>
      <c r="J144" s="71" t="s">
        <v>59</v>
      </c>
      <c r="K144" s="71" t="s">
        <v>81</v>
      </c>
      <c r="L144" s="71" t="s">
        <v>82</v>
      </c>
      <c r="M144" s="71" t="s">
        <v>83</v>
      </c>
      <c r="N144" s="71">
        <v>666</v>
      </c>
      <c r="O144" s="73">
        <v>367.44</v>
      </c>
      <c r="P144" s="73">
        <f t="shared" si="0"/>
        <v>244715.04</v>
      </c>
      <c r="Q144" s="71">
        <v>9</v>
      </c>
      <c r="R144" s="71">
        <v>13</v>
      </c>
      <c r="S144" s="71">
        <f t="shared" si="2"/>
        <v>4</v>
      </c>
      <c r="T144" s="71" t="str">
        <f t="shared" si="1"/>
        <v>No</v>
      </c>
      <c r="U144" s="71">
        <v>2327</v>
      </c>
      <c r="V144" s="71">
        <v>206</v>
      </c>
      <c r="W144" s="71">
        <v>258</v>
      </c>
      <c r="X144" s="71">
        <v>2</v>
      </c>
      <c r="Y144" s="71">
        <v>4</v>
      </c>
      <c r="Z144" s="73">
        <v>252.8</v>
      </c>
      <c r="AA144" s="73">
        <v>6418</v>
      </c>
      <c r="AB144" s="74">
        <v>0.76</v>
      </c>
    </row>
    <row r="145" spans="1:28" ht="15.75" customHeight="1" x14ac:dyDescent="0.3">
      <c r="A145" s="71" t="s">
        <v>326</v>
      </c>
      <c r="B145" s="72">
        <v>45234</v>
      </c>
      <c r="C145" s="71" t="s">
        <v>234</v>
      </c>
      <c r="D145" s="71" t="s">
        <v>235</v>
      </c>
      <c r="E145" s="71" t="s">
        <v>43</v>
      </c>
      <c r="F145" s="71" t="s">
        <v>128</v>
      </c>
      <c r="G145" s="71" t="s">
        <v>203</v>
      </c>
      <c r="H145" s="71" t="s">
        <v>204</v>
      </c>
      <c r="I145" s="71" t="s">
        <v>58</v>
      </c>
      <c r="J145" s="71" t="s">
        <v>90</v>
      </c>
      <c r="K145" s="71" t="s">
        <v>104</v>
      </c>
      <c r="L145" s="71" t="s">
        <v>105</v>
      </c>
      <c r="M145" s="71" t="s">
        <v>106</v>
      </c>
      <c r="N145" s="71">
        <v>673</v>
      </c>
      <c r="O145" s="73">
        <v>1112.81</v>
      </c>
      <c r="P145" s="73">
        <f t="shared" si="0"/>
        <v>748921.13</v>
      </c>
      <c r="Q145" s="71">
        <v>30</v>
      </c>
      <c r="R145" s="71">
        <v>30</v>
      </c>
      <c r="S145" s="71">
        <f t="shared" si="2"/>
        <v>0</v>
      </c>
      <c r="T145" s="71" t="str">
        <f t="shared" si="1"/>
        <v>Yes</v>
      </c>
      <c r="U145" s="71">
        <v>2133</v>
      </c>
      <c r="V145" s="71">
        <v>342</v>
      </c>
      <c r="W145" s="71">
        <v>311</v>
      </c>
      <c r="X145" s="71">
        <v>5</v>
      </c>
      <c r="Y145" s="71">
        <v>8</v>
      </c>
      <c r="Z145" s="73">
        <v>792.29</v>
      </c>
      <c r="AA145" s="73">
        <v>4285</v>
      </c>
      <c r="AB145" s="74">
        <v>0.76</v>
      </c>
    </row>
    <row r="146" spans="1:28" ht="15.75" customHeight="1" x14ac:dyDescent="0.3">
      <c r="A146" s="71" t="s">
        <v>327</v>
      </c>
      <c r="B146" s="72">
        <v>45235</v>
      </c>
      <c r="C146" s="71" t="s">
        <v>155</v>
      </c>
      <c r="D146" s="71" t="s">
        <v>156</v>
      </c>
      <c r="E146" s="71" t="s">
        <v>87</v>
      </c>
      <c r="F146" s="71" t="s">
        <v>128</v>
      </c>
      <c r="G146" s="71" t="s">
        <v>171</v>
      </c>
      <c r="H146" s="71" t="s">
        <v>172</v>
      </c>
      <c r="I146" s="71" t="s">
        <v>58</v>
      </c>
      <c r="J146" s="71" t="s">
        <v>90</v>
      </c>
      <c r="K146" s="71" t="s">
        <v>81</v>
      </c>
      <c r="L146" s="71" t="s">
        <v>82</v>
      </c>
      <c r="M146" s="71" t="s">
        <v>83</v>
      </c>
      <c r="N146" s="71">
        <v>365</v>
      </c>
      <c r="O146" s="73">
        <v>185.97</v>
      </c>
      <c r="P146" s="73">
        <f t="shared" si="0"/>
        <v>67879.05</v>
      </c>
      <c r="Q146" s="71">
        <v>26</v>
      </c>
      <c r="R146" s="71">
        <v>25</v>
      </c>
      <c r="S146" s="71">
        <f t="shared" si="2"/>
        <v>0</v>
      </c>
      <c r="T146" s="71" t="str">
        <f t="shared" si="1"/>
        <v>Yes</v>
      </c>
      <c r="U146" s="71">
        <v>2092</v>
      </c>
      <c r="V146" s="71">
        <v>393</v>
      </c>
      <c r="W146" s="71">
        <v>317</v>
      </c>
      <c r="X146" s="71">
        <v>2.5</v>
      </c>
      <c r="Y146" s="71">
        <v>4</v>
      </c>
      <c r="Z146" s="73">
        <v>127.21</v>
      </c>
      <c r="AA146" s="73">
        <v>4515</v>
      </c>
      <c r="AB146" s="74">
        <v>0.73</v>
      </c>
    </row>
    <row r="147" spans="1:28" ht="15.75" customHeight="1" x14ac:dyDescent="0.3">
      <c r="A147" s="71" t="s">
        <v>328</v>
      </c>
      <c r="B147" s="72">
        <v>45236</v>
      </c>
      <c r="C147" s="71" t="s">
        <v>206</v>
      </c>
      <c r="D147" s="71" t="s">
        <v>207</v>
      </c>
      <c r="E147" s="71" t="s">
        <v>127</v>
      </c>
      <c r="F147" s="71" t="s">
        <v>66</v>
      </c>
      <c r="G147" s="71" t="s">
        <v>171</v>
      </c>
      <c r="H147" s="71" t="s">
        <v>172</v>
      </c>
      <c r="I147" s="71" t="s">
        <v>58</v>
      </c>
      <c r="J147" s="71" t="s">
        <v>90</v>
      </c>
      <c r="K147" s="71" t="s">
        <v>49</v>
      </c>
      <c r="L147" s="71" t="s">
        <v>50</v>
      </c>
      <c r="M147" s="71" t="s">
        <v>51</v>
      </c>
      <c r="N147" s="71">
        <v>425</v>
      </c>
      <c r="O147" s="73">
        <v>925.64</v>
      </c>
      <c r="P147" s="73">
        <f t="shared" si="0"/>
        <v>393397</v>
      </c>
      <c r="Q147" s="71">
        <v>7</v>
      </c>
      <c r="R147" s="71">
        <v>5</v>
      </c>
      <c r="S147" s="71">
        <f t="shared" si="2"/>
        <v>0</v>
      </c>
      <c r="T147" s="71" t="str">
        <f t="shared" si="1"/>
        <v>Yes</v>
      </c>
      <c r="U147" s="71">
        <v>1820</v>
      </c>
      <c r="V147" s="71">
        <v>339</v>
      </c>
      <c r="W147" s="71">
        <v>381</v>
      </c>
      <c r="X147" s="71">
        <v>4</v>
      </c>
      <c r="Y147" s="71">
        <v>6</v>
      </c>
      <c r="Z147" s="73">
        <v>618.36</v>
      </c>
      <c r="AA147" s="73">
        <v>1676</v>
      </c>
      <c r="AB147" s="74">
        <v>0.79</v>
      </c>
    </row>
    <row r="148" spans="1:28" ht="15.75" customHeight="1" x14ac:dyDescent="0.3">
      <c r="A148" s="71" t="s">
        <v>329</v>
      </c>
      <c r="B148" s="72">
        <v>45237</v>
      </c>
      <c r="C148" s="71" t="s">
        <v>98</v>
      </c>
      <c r="D148" s="71" t="s">
        <v>99</v>
      </c>
      <c r="E148" s="71" t="s">
        <v>100</v>
      </c>
      <c r="F148" s="71" t="s">
        <v>66</v>
      </c>
      <c r="G148" s="71" t="s">
        <v>78</v>
      </c>
      <c r="H148" s="71" t="s">
        <v>79</v>
      </c>
      <c r="I148" s="71" t="s">
        <v>69</v>
      </c>
      <c r="J148" s="71" t="s">
        <v>80</v>
      </c>
      <c r="K148" s="71" t="s">
        <v>108</v>
      </c>
      <c r="L148" s="71" t="s">
        <v>109</v>
      </c>
      <c r="M148" s="71" t="s">
        <v>62</v>
      </c>
      <c r="N148" s="71">
        <v>995</v>
      </c>
      <c r="O148" s="73">
        <v>9225.6299999999992</v>
      </c>
      <c r="P148" s="73">
        <f t="shared" si="0"/>
        <v>9179501.8499999996</v>
      </c>
      <c r="Q148" s="71">
        <v>28</v>
      </c>
      <c r="R148" s="71">
        <v>30</v>
      </c>
      <c r="S148" s="71">
        <f t="shared" si="2"/>
        <v>2</v>
      </c>
      <c r="T148" s="71" t="str">
        <f t="shared" si="1"/>
        <v>No</v>
      </c>
      <c r="U148" s="71">
        <v>2869</v>
      </c>
      <c r="V148" s="71">
        <v>1020</v>
      </c>
      <c r="W148" s="71">
        <v>962</v>
      </c>
      <c r="X148" s="71">
        <v>18</v>
      </c>
      <c r="Y148" s="71">
        <v>25</v>
      </c>
      <c r="Z148" s="73">
        <v>7223.91</v>
      </c>
      <c r="AA148" s="73">
        <v>5022</v>
      </c>
      <c r="AB148" s="74">
        <v>0.79</v>
      </c>
    </row>
    <row r="149" spans="1:28" ht="15.75" customHeight="1" x14ac:dyDescent="0.3">
      <c r="A149" s="71" t="s">
        <v>330</v>
      </c>
      <c r="B149" s="72">
        <v>45238</v>
      </c>
      <c r="C149" s="71" t="s">
        <v>133</v>
      </c>
      <c r="D149" s="71" t="s">
        <v>134</v>
      </c>
      <c r="E149" s="71" t="s">
        <v>100</v>
      </c>
      <c r="F149" s="71" t="s">
        <v>66</v>
      </c>
      <c r="G149" s="71" t="s">
        <v>88</v>
      </c>
      <c r="H149" s="71" t="s">
        <v>89</v>
      </c>
      <c r="I149" s="71" t="s">
        <v>58</v>
      </c>
      <c r="J149" s="71" t="s">
        <v>90</v>
      </c>
      <c r="K149" s="71" t="s">
        <v>189</v>
      </c>
      <c r="L149" s="71" t="s">
        <v>190</v>
      </c>
      <c r="M149" s="71" t="s">
        <v>73</v>
      </c>
      <c r="N149" s="71">
        <v>240</v>
      </c>
      <c r="O149" s="73">
        <v>2071.66</v>
      </c>
      <c r="P149" s="73">
        <f t="shared" si="0"/>
        <v>497198.39999999997</v>
      </c>
      <c r="Q149" s="71">
        <v>21</v>
      </c>
      <c r="R149" s="71">
        <v>20</v>
      </c>
      <c r="S149" s="71">
        <f t="shared" si="2"/>
        <v>0</v>
      </c>
      <c r="T149" s="71" t="str">
        <f t="shared" si="1"/>
        <v>Yes</v>
      </c>
      <c r="U149" s="71">
        <v>1046</v>
      </c>
      <c r="V149" s="71">
        <v>128</v>
      </c>
      <c r="W149" s="71">
        <v>188</v>
      </c>
      <c r="X149" s="71">
        <v>8</v>
      </c>
      <c r="Y149" s="71">
        <v>12</v>
      </c>
      <c r="Z149" s="73">
        <v>1356.71</v>
      </c>
      <c r="AA149" s="73">
        <v>5620</v>
      </c>
      <c r="AB149" s="74">
        <v>0.78</v>
      </c>
    </row>
    <row r="150" spans="1:28" ht="15.75" customHeight="1" x14ac:dyDescent="0.3">
      <c r="A150" s="71" t="s">
        <v>331</v>
      </c>
      <c r="B150" s="72">
        <v>45241</v>
      </c>
      <c r="C150" s="71" t="s">
        <v>161</v>
      </c>
      <c r="D150" s="71" t="s">
        <v>162</v>
      </c>
      <c r="E150" s="71" t="s">
        <v>77</v>
      </c>
      <c r="F150" s="71" t="s">
        <v>128</v>
      </c>
      <c r="G150" s="71" t="s">
        <v>212</v>
      </c>
      <c r="H150" s="71" t="s">
        <v>213</v>
      </c>
      <c r="I150" s="71" t="s">
        <v>214</v>
      </c>
      <c r="J150" s="71" t="s">
        <v>138</v>
      </c>
      <c r="K150" s="71" t="s">
        <v>81</v>
      </c>
      <c r="L150" s="71" t="s">
        <v>82</v>
      </c>
      <c r="M150" s="71" t="s">
        <v>83</v>
      </c>
      <c r="N150" s="71">
        <v>97</v>
      </c>
      <c r="O150" s="73">
        <v>48.73</v>
      </c>
      <c r="P150" s="73">
        <f t="shared" si="0"/>
        <v>4726.8099999999995</v>
      </c>
      <c r="Q150" s="71">
        <v>7</v>
      </c>
      <c r="R150" s="71">
        <v>9</v>
      </c>
      <c r="S150" s="71">
        <f t="shared" si="2"/>
        <v>2</v>
      </c>
      <c r="T150" s="71" t="str">
        <f t="shared" si="1"/>
        <v>No</v>
      </c>
      <c r="U150" s="71">
        <v>545</v>
      </c>
      <c r="V150" s="71">
        <v>105</v>
      </c>
      <c r="W150" s="71">
        <v>153</v>
      </c>
      <c r="X150" s="71">
        <v>1.5</v>
      </c>
      <c r="Y150" s="71">
        <v>2</v>
      </c>
      <c r="Z150" s="73">
        <v>30.85</v>
      </c>
      <c r="AA150" s="73">
        <v>4822</v>
      </c>
      <c r="AB150" s="74">
        <v>0.94</v>
      </c>
    </row>
    <row r="151" spans="1:28" ht="15.75" customHeight="1" x14ac:dyDescent="0.3">
      <c r="A151" s="71" t="s">
        <v>332</v>
      </c>
      <c r="B151" s="72">
        <v>45244</v>
      </c>
      <c r="C151" s="71" t="s">
        <v>161</v>
      </c>
      <c r="D151" s="71" t="s">
        <v>162</v>
      </c>
      <c r="E151" s="71" t="s">
        <v>77</v>
      </c>
      <c r="F151" s="71" t="s">
        <v>66</v>
      </c>
      <c r="G151" s="71" t="s">
        <v>265</v>
      </c>
      <c r="H151" s="71" t="s">
        <v>266</v>
      </c>
      <c r="I151" s="71" t="s">
        <v>69</v>
      </c>
      <c r="J151" s="71" t="s">
        <v>70</v>
      </c>
      <c r="K151" s="71" t="s">
        <v>81</v>
      </c>
      <c r="L151" s="71" t="s">
        <v>82</v>
      </c>
      <c r="M151" s="71" t="s">
        <v>83</v>
      </c>
      <c r="N151" s="71">
        <v>57</v>
      </c>
      <c r="O151" s="73">
        <v>43.25</v>
      </c>
      <c r="P151" s="73">
        <f t="shared" si="0"/>
        <v>2465.25</v>
      </c>
      <c r="Q151" s="71">
        <v>20</v>
      </c>
      <c r="R151" s="71">
        <v>21</v>
      </c>
      <c r="S151" s="71">
        <f t="shared" si="2"/>
        <v>1</v>
      </c>
      <c r="T151" s="71" t="str">
        <f t="shared" si="1"/>
        <v>No</v>
      </c>
      <c r="U151" s="71">
        <v>1885</v>
      </c>
      <c r="V151" s="71">
        <v>45</v>
      </c>
      <c r="W151" s="71">
        <v>55</v>
      </c>
      <c r="X151" s="71">
        <v>1.5</v>
      </c>
      <c r="Y151" s="71">
        <v>2</v>
      </c>
      <c r="Z151" s="73">
        <v>27.63</v>
      </c>
      <c r="AA151" s="73">
        <v>6204</v>
      </c>
      <c r="AB151" s="74">
        <v>0.81</v>
      </c>
    </row>
    <row r="152" spans="1:28" ht="15.75" customHeight="1" x14ac:dyDescent="0.3">
      <c r="A152" s="71" t="s">
        <v>333</v>
      </c>
      <c r="B152" s="72">
        <v>45247</v>
      </c>
      <c r="C152" s="71" t="s">
        <v>111</v>
      </c>
      <c r="D152" s="71" t="s">
        <v>112</v>
      </c>
      <c r="E152" s="71" t="s">
        <v>87</v>
      </c>
      <c r="F152" s="71" t="s">
        <v>66</v>
      </c>
      <c r="G152" s="71" t="s">
        <v>311</v>
      </c>
      <c r="H152" s="71" t="s">
        <v>312</v>
      </c>
      <c r="I152" s="71" t="s">
        <v>58</v>
      </c>
      <c r="J152" s="71" t="s">
        <v>96</v>
      </c>
      <c r="K152" s="71" t="s">
        <v>81</v>
      </c>
      <c r="L152" s="71" t="s">
        <v>82</v>
      </c>
      <c r="M152" s="71" t="s">
        <v>83</v>
      </c>
      <c r="N152" s="71">
        <v>197</v>
      </c>
      <c r="O152" s="73">
        <v>844.33</v>
      </c>
      <c r="P152" s="73">
        <f t="shared" si="0"/>
        <v>166333.01</v>
      </c>
      <c r="Q152" s="71">
        <v>9</v>
      </c>
      <c r="R152" s="71">
        <v>15</v>
      </c>
      <c r="S152" s="71">
        <f t="shared" si="2"/>
        <v>6</v>
      </c>
      <c r="T152" s="71" t="str">
        <f t="shared" si="1"/>
        <v>No</v>
      </c>
      <c r="U152" s="71">
        <v>1733</v>
      </c>
      <c r="V152" s="71">
        <v>200</v>
      </c>
      <c r="W152" s="71">
        <v>240</v>
      </c>
      <c r="X152" s="71">
        <v>4</v>
      </c>
      <c r="Y152" s="71">
        <v>6</v>
      </c>
      <c r="Z152" s="73">
        <v>578.03</v>
      </c>
      <c r="AA152" s="73">
        <v>4486</v>
      </c>
      <c r="AB152" s="74">
        <v>0.88</v>
      </c>
    </row>
    <row r="153" spans="1:28" ht="15.75" customHeight="1" x14ac:dyDescent="0.3">
      <c r="A153" s="71" t="s">
        <v>334</v>
      </c>
      <c r="B153" s="72">
        <v>45248</v>
      </c>
      <c r="C153" s="71" t="s">
        <v>234</v>
      </c>
      <c r="D153" s="71" t="s">
        <v>235</v>
      </c>
      <c r="E153" s="71" t="s">
        <v>43</v>
      </c>
      <c r="F153" s="71" t="s">
        <v>128</v>
      </c>
      <c r="G153" s="71" t="s">
        <v>166</v>
      </c>
      <c r="H153" s="71" t="s">
        <v>167</v>
      </c>
      <c r="I153" s="71" t="s">
        <v>69</v>
      </c>
      <c r="J153" s="71" t="s">
        <v>103</v>
      </c>
      <c r="K153" s="71" t="s">
        <v>60</v>
      </c>
      <c r="L153" s="71" t="s">
        <v>61</v>
      </c>
      <c r="M153" s="71" t="s">
        <v>62</v>
      </c>
      <c r="N153" s="71">
        <v>524</v>
      </c>
      <c r="O153" s="73">
        <v>1355.82</v>
      </c>
      <c r="P153" s="73">
        <f t="shared" si="0"/>
        <v>710449.67999999993</v>
      </c>
      <c r="Q153" s="71">
        <v>21</v>
      </c>
      <c r="R153" s="71">
        <v>18</v>
      </c>
      <c r="S153" s="71">
        <f t="shared" si="2"/>
        <v>0</v>
      </c>
      <c r="T153" s="71" t="str">
        <f t="shared" si="1"/>
        <v>Yes</v>
      </c>
      <c r="U153" s="71">
        <v>2100</v>
      </c>
      <c r="V153" s="71">
        <v>207</v>
      </c>
      <c r="W153" s="71">
        <v>192</v>
      </c>
      <c r="X153" s="71">
        <v>5</v>
      </c>
      <c r="Y153" s="71">
        <v>8</v>
      </c>
      <c r="Z153" s="73">
        <v>974.84</v>
      </c>
      <c r="AA153" s="73">
        <v>6031</v>
      </c>
      <c r="AB153" s="74">
        <v>0.94</v>
      </c>
    </row>
    <row r="154" spans="1:28" ht="15.75" customHeight="1" x14ac:dyDescent="0.3">
      <c r="A154" s="71" t="s">
        <v>335</v>
      </c>
      <c r="B154" s="72">
        <v>45252</v>
      </c>
      <c r="C154" s="71" t="s">
        <v>53</v>
      </c>
      <c r="D154" s="71" t="s">
        <v>54</v>
      </c>
      <c r="E154" s="71" t="s">
        <v>43</v>
      </c>
      <c r="F154" s="71" t="s">
        <v>44</v>
      </c>
      <c r="G154" s="71" t="s">
        <v>203</v>
      </c>
      <c r="H154" s="71" t="s">
        <v>204</v>
      </c>
      <c r="I154" s="71" t="s">
        <v>58</v>
      </c>
      <c r="J154" s="71" t="s">
        <v>90</v>
      </c>
      <c r="K154" s="71" t="s">
        <v>104</v>
      </c>
      <c r="L154" s="71" t="s">
        <v>105</v>
      </c>
      <c r="M154" s="71" t="s">
        <v>106</v>
      </c>
      <c r="N154" s="71">
        <v>980</v>
      </c>
      <c r="O154" s="73">
        <v>677.24</v>
      </c>
      <c r="P154" s="73">
        <f t="shared" si="0"/>
        <v>663695.19999999995</v>
      </c>
      <c r="Q154" s="71">
        <v>9</v>
      </c>
      <c r="R154" s="71">
        <v>12</v>
      </c>
      <c r="S154" s="71">
        <f t="shared" si="2"/>
        <v>3</v>
      </c>
      <c r="T154" s="71" t="str">
        <f t="shared" si="1"/>
        <v>No</v>
      </c>
      <c r="U154" s="71">
        <v>2036</v>
      </c>
      <c r="V154" s="71">
        <v>931</v>
      </c>
      <c r="W154" s="71">
        <v>859</v>
      </c>
      <c r="X154" s="71">
        <v>3.5</v>
      </c>
      <c r="Y154" s="71">
        <v>5</v>
      </c>
      <c r="Z154" s="73">
        <v>411.49</v>
      </c>
      <c r="AA154" s="73">
        <v>960</v>
      </c>
      <c r="AB154" s="74">
        <v>0.77</v>
      </c>
    </row>
    <row r="155" spans="1:28" ht="15.75" customHeight="1" x14ac:dyDescent="0.3">
      <c r="A155" s="75" t="s">
        <v>336</v>
      </c>
      <c r="B155" s="76">
        <v>45253</v>
      </c>
      <c r="C155" s="75" t="s">
        <v>53</v>
      </c>
      <c r="D155" s="75" t="s">
        <v>54</v>
      </c>
      <c r="E155" s="75" t="s">
        <v>43</v>
      </c>
      <c r="F155" s="75" t="s">
        <v>113</v>
      </c>
      <c r="G155" s="75" t="s">
        <v>265</v>
      </c>
      <c r="H155" s="75" t="s">
        <v>266</v>
      </c>
      <c r="I155" s="75" t="s">
        <v>69</v>
      </c>
      <c r="J155" s="75" t="s">
        <v>70</v>
      </c>
      <c r="K155" s="75" t="s">
        <v>104</v>
      </c>
      <c r="L155" s="75" t="s">
        <v>105</v>
      </c>
      <c r="M155" s="75" t="s">
        <v>106</v>
      </c>
      <c r="N155" s="75">
        <v>537</v>
      </c>
      <c r="O155" s="77">
        <v>676.27</v>
      </c>
      <c r="P155" s="77">
        <f t="shared" si="0"/>
        <v>363156.99</v>
      </c>
      <c r="Q155" s="75">
        <v>15</v>
      </c>
      <c r="R155" s="75">
        <v>19</v>
      </c>
      <c r="S155" s="75">
        <f t="shared" si="2"/>
        <v>4</v>
      </c>
      <c r="T155" s="75" t="str">
        <f t="shared" si="1"/>
        <v>No</v>
      </c>
      <c r="U155" s="75">
        <v>521</v>
      </c>
      <c r="V155" s="75">
        <v>333</v>
      </c>
      <c r="W155" s="75">
        <v>324</v>
      </c>
      <c r="X155" s="75">
        <v>3.5</v>
      </c>
      <c r="Y155" s="75">
        <v>5</v>
      </c>
      <c r="Z155" s="77">
        <v>418.86</v>
      </c>
      <c r="AA155" s="77">
        <v>2877</v>
      </c>
      <c r="AB155" s="78">
        <v>0.96</v>
      </c>
    </row>
    <row r="156" spans="1:28" ht="15.75" customHeight="1" x14ac:dyDescent="0.3">
      <c r="A156" s="71" t="s">
        <v>337</v>
      </c>
      <c r="B156" s="72">
        <v>45253</v>
      </c>
      <c r="C156" s="71" t="s">
        <v>221</v>
      </c>
      <c r="D156" s="71" t="s">
        <v>222</v>
      </c>
      <c r="E156" s="71" t="s">
        <v>77</v>
      </c>
      <c r="F156" s="71" t="s">
        <v>128</v>
      </c>
      <c r="G156" s="71" t="s">
        <v>175</v>
      </c>
      <c r="H156" s="71" t="s">
        <v>176</v>
      </c>
      <c r="I156" s="71" t="s">
        <v>58</v>
      </c>
      <c r="J156" s="71" t="s">
        <v>59</v>
      </c>
      <c r="K156" s="71" t="s">
        <v>60</v>
      </c>
      <c r="L156" s="71" t="s">
        <v>61</v>
      </c>
      <c r="M156" s="71" t="s">
        <v>62</v>
      </c>
      <c r="N156" s="71">
        <v>184</v>
      </c>
      <c r="O156" s="73">
        <v>31.42</v>
      </c>
      <c r="P156" s="73">
        <f t="shared" si="0"/>
        <v>5781.2800000000007</v>
      </c>
      <c r="Q156" s="71">
        <v>10</v>
      </c>
      <c r="R156" s="71">
        <v>14</v>
      </c>
      <c r="S156" s="71">
        <f t="shared" si="2"/>
        <v>4</v>
      </c>
      <c r="T156" s="71" t="str">
        <f t="shared" si="1"/>
        <v>No</v>
      </c>
      <c r="U156" s="71">
        <v>401</v>
      </c>
      <c r="V156" s="71">
        <v>129</v>
      </c>
      <c r="W156" s="71">
        <v>192</v>
      </c>
      <c r="X156" s="71">
        <v>1.2</v>
      </c>
      <c r="Y156" s="71">
        <v>2</v>
      </c>
      <c r="Z156" s="73">
        <v>24.46</v>
      </c>
      <c r="AA156" s="73">
        <v>6271</v>
      </c>
      <c r="AB156" s="74">
        <v>0.71</v>
      </c>
    </row>
    <row r="157" spans="1:28" ht="15.75" customHeight="1" x14ac:dyDescent="0.3">
      <c r="A157" s="71" t="s">
        <v>338</v>
      </c>
      <c r="B157" s="72">
        <v>45255</v>
      </c>
      <c r="C157" s="71" t="s">
        <v>155</v>
      </c>
      <c r="D157" s="71" t="s">
        <v>156</v>
      </c>
      <c r="E157" s="71" t="s">
        <v>87</v>
      </c>
      <c r="F157" s="71" t="s">
        <v>66</v>
      </c>
      <c r="G157" s="71" t="s">
        <v>217</v>
      </c>
      <c r="H157" s="71" t="s">
        <v>218</v>
      </c>
      <c r="I157" s="71" t="s">
        <v>137</v>
      </c>
      <c r="J157" s="71" t="s">
        <v>138</v>
      </c>
      <c r="K157" s="71" t="s">
        <v>91</v>
      </c>
      <c r="L157" s="71" t="s">
        <v>92</v>
      </c>
      <c r="M157" s="71" t="s">
        <v>51</v>
      </c>
      <c r="N157" s="71">
        <v>191</v>
      </c>
      <c r="O157" s="73">
        <v>205.41</v>
      </c>
      <c r="P157" s="73">
        <f t="shared" si="0"/>
        <v>39233.31</v>
      </c>
      <c r="Q157" s="71">
        <v>15</v>
      </c>
      <c r="R157" s="71">
        <v>23</v>
      </c>
      <c r="S157" s="71">
        <f t="shared" si="2"/>
        <v>8</v>
      </c>
      <c r="T157" s="71" t="str">
        <f t="shared" si="1"/>
        <v>No</v>
      </c>
      <c r="U157" s="71">
        <v>2031</v>
      </c>
      <c r="V157" s="71">
        <v>279</v>
      </c>
      <c r="W157" s="71">
        <v>375</v>
      </c>
      <c r="X157" s="71">
        <v>2.5</v>
      </c>
      <c r="Y157" s="71">
        <v>4</v>
      </c>
      <c r="Z157" s="73">
        <v>136.63</v>
      </c>
      <c r="AA157" s="73">
        <v>2796</v>
      </c>
      <c r="AB157" s="74">
        <v>0.93</v>
      </c>
    </row>
    <row r="158" spans="1:28" ht="15.75" customHeight="1" x14ac:dyDescent="0.3">
      <c r="A158" s="71" t="s">
        <v>339</v>
      </c>
      <c r="B158" s="72">
        <v>45259</v>
      </c>
      <c r="C158" s="71" t="s">
        <v>133</v>
      </c>
      <c r="D158" s="71" t="s">
        <v>134</v>
      </c>
      <c r="E158" s="71" t="s">
        <v>100</v>
      </c>
      <c r="F158" s="71" t="s">
        <v>113</v>
      </c>
      <c r="G158" s="71" t="s">
        <v>236</v>
      </c>
      <c r="H158" s="71" t="s">
        <v>237</v>
      </c>
      <c r="I158" s="71" t="s">
        <v>47</v>
      </c>
      <c r="J158" s="71" t="s">
        <v>48</v>
      </c>
      <c r="K158" s="71" t="s">
        <v>104</v>
      </c>
      <c r="L158" s="71" t="s">
        <v>105</v>
      </c>
      <c r="M158" s="71" t="s">
        <v>106</v>
      </c>
      <c r="N158" s="71">
        <v>826</v>
      </c>
      <c r="O158" s="73">
        <v>2025.64</v>
      </c>
      <c r="P158" s="73">
        <f t="shared" si="0"/>
        <v>1673178.6400000001</v>
      </c>
      <c r="Q158" s="71">
        <v>13</v>
      </c>
      <c r="R158" s="71">
        <v>17</v>
      </c>
      <c r="S158" s="71">
        <f t="shared" si="2"/>
        <v>4</v>
      </c>
      <c r="T158" s="71" t="str">
        <f t="shared" si="1"/>
        <v>No</v>
      </c>
      <c r="U158" s="71">
        <v>2296</v>
      </c>
      <c r="V158" s="71">
        <v>257</v>
      </c>
      <c r="W158" s="71">
        <v>376</v>
      </c>
      <c r="X158" s="71">
        <v>8</v>
      </c>
      <c r="Y158" s="71">
        <v>12</v>
      </c>
      <c r="Z158" s="73">
        <v>1250.07</v>
      </c>
      <c r="AA158" s="73">
        <v>6398</v>
      </c>
      <c r="AB158" s="74">
        <v>0.81</v>
      </c>
    </row>
    <row r="159" spans="1:28" ht="15.75" customHeight="1" x14ac:dyDescent="0.3">
      <c r="A159" s="75" t="s">
        <v>340</v>
      </c>
      <c r="B159" s="76">
        <v>45263</v>
      </c>
      <c r="C159" s="75" t="s">
        <v>85</v>
      </c>
      <c r="D159" s="75" t="s">
        <v>86</v>
      </c>
      <c r="E159" s="75" t="s">
        <v>87</v>
      </c>
      <c r="F159" s="75" t="s">
        <v>44</v>
      </c>
      <c r="G159" s="75" t="s">
        <v>175</v>
      </c>
      <c r="H159" s="75" t="s">
        <v>176</v>
      </c>
      <c r="I159" s="75" t="s">
        <v>58</v>
      </c>
      <c r="J159" s="75" t="s">
        <v>59</v>
      </c>
      <c r="K159" s="75" t="s">
        <v>91</v>
      </c>
      <c r="L159" s="75" t="s">
        <v>92</v>
      </c>
      <c r="M159" s="75" t="s">
        <v>51</v>
      </c>
      <c r="N159" s="75">
        <v>530</v>
      </c>
      <c r="O159" s="77">
        <v>316.95</v>
      </c>
      <c r="P159" s="77">
        <f t="shared" si="0"/>
        <v>167983.5</v>
      </c>
      <c r="Q159" s="75">
        <v>16</v>
      </c>
      <c r="R159" s="75">
        <v>16</v>
      </c>
      <c r="S159" s="75">
        <f t="shared" si="2"/>
        <v>0</v>
      </c>
      <c r="T159" s="75" t="str">
        <f t="shared" si="1"/>
        <v>Yes</v>
      </c>
      <c r="U159" s="75">
        <v>897</v>
      </c>
      <c r="V159" s="75">
        <v>376</v>
      </c>
      <c r="W159" s="75">
        <v>502</v>
      </c>
      <c r="X159" s="75">
        <v>2</v>
      </c>
      <c r="Y159" s="75">
        <v>4</v>
      </c>
      <c r="Z159" s="77">
        <v>202.34</v>
      </c>
      <c r="AA159" s="77">
        <v>1626</v>
      </c>
      <c r="AB159" s="78">
        <v>0.74</v>
      </c>
    </row>
    <row r="160" spans="1:28" ht="15.75" customHeight="1" x14ac:dyDescent="0.3">
      <c r="A160" s="75" t="s">
        <v>341</v>
      </c>
      <c r="B160" s="76">
        <v>45263</v>
      </c>
      <c r="C160" s="75" t="s">
        <v>85</v>
      </c>
      <c r="D160" s="75" t="s">
        <v>86</v>
      </c>
      <c r="E160" s="75" t="s">
        <v>87</v>
      </c>
      <c r="F160" s="75" t="s">
        <v>44</v>
      </c>
      <c r="G160" s="75" t="s">
        <v>203</v>
      </c>
      <c r="H160" s="75" t="s">
        <v>204</v>
      </c>
      <c r="I160" s="75" t="s">
        <v>58</v>
      </c>
      <c r="J160" s="75" t="s">
        <v>90</v>
      </c>
      <c r="K160" s="75" t="s">
        <v>91</v>
      </c>
      <c r="L160" s="75" t="s">
        <v>92</v>
      </c>
      <c r="M160" s="75" t="s">
        <v>51</v>
      </c>
      <c r="N160" s="75">
        <v>889</v>
      </c>
      <c r="O160" s="77">
        <v>366.72</v>
      </c>
      <c r="P160" s="77">
        <f t="shared" si="0"/>
        <v>326014.08000000002</v>
      </c>
      <c r="Q160" s="75">
        <v>9</v>
      </c>
      <c r="R160" s="75">
        <v>13</v>
      </c>
      <c r="S160" s="75">
        <f t="shared" si="2"/>
        <v>4</v>
      </c>
      <c r="T160" s="75" t="str">
        <f t="shared" si="1"/>
        <v>No</v>
      </c>
      <c r="U160" s="75">
        <v>734</v>
      </c>
      <c r="V160" s="75">
        <v>383</v>
      </c>
      <c r="W160" s="75">
        <v>538</v>
      </c>
      <c r="X160" s="75">
        <v>2</v>
      </c>
      <c r="Y160" s="75">
        <v>4</v>
      </c>
      <c r="Z160" s="77">
        <v>229.7</v>
      </c>
      <c r="AA160" s="77">
        <v>3434</v>
      </c>
      <c r="AB160" s="78">
        <v>0.92</v>
      </c>
    </row>
    <row r="161" spans="1:28" ht="15.75" customHeight="1" x14ac:dyDescent="0.3">
      <c r="A161" s="71" t="s">
        <v>342</v>
      </c>
      <c r="B161" s="72">
        <v>45264</v>
      </c>
      <c r="C161" s="71" t="s">
        <v>161</v>
      </c>
      <c r="D161" s="71" t="s">
        <v>162</v>
      </c>
      <c r="E161" s="71" t="s">
        <v>77</v>
      </c>
      <c r="F161" s="71" t="s">
        <v>113</v>
      </c>
      <c r="G161" s="71" t="s">
        <v>166</v>
      </c>
      <c r="H161" s="71" t="s">
        <v>167</v>
      </c>
      <c r="I161" s="71" t="s">
        <v>69</v>
      </c>
      <c r="J161" s="71" t="s">
        <v>103</v>
      </c>
      <c r="K161" s="71" t="s">
        <v>81</v>
      </c>
      <c r="L161" s="71" t="s">
        <v>82</v>
      </c>
      <c r="M161" s="71" t="s">
        <v>83</v>
      </c>
      <c r="N161" s="71">
        <v>521</v>
      </c>
      <c r="O161" s="73">
        <v>46.69</v>
      </c>
      <c r="P161" s="73">
        <f t="shared" si="0"/>
        <v>24325.489999999998</v>
      </c>
      <c r="Q161" s="71">
        <v>26</v>
      </c>
      <c r="R161" s="71">
        <v>28</v>
      </c>
      <c r="S161" s="71">
        <f t="shared" si="2"/>
        <v>2</v>
      </c>
      <c r="T161" s="71" t="str">
        <f t="shared" si="1"/>
        <v>No</v>
      </c>
      <c r="U161" s="71">
        <v>2021</v>
      </c>
      <c r="V161" s="71">
        <v>760</v>
      </c>
      <c r="W161" s="71">
        <v>949</v>
      </c>
      <c r="X161" s="71">
        <v>1.5</v>
      </c>
      <c r="Y161" s="71">
        <v>2</v>
      </c>
      <c r="Z161" s="73">
        <v>32.6</v>
      </c>
      <c r="AA161" s="73">
        <v>1878</v>
      </c>
      <c r="AB161" s="74">
        <v>0.91</v>
      </c>
    </row>
    <row r="162" spans="1:28" ht="15.75" customHeight="1" x14ac:dyDescent="0.3">
      <c r="A162" s="75" t="s">
        <v>343</v>
      </c>
      <c r="B162" s="76">
        <v>45266</v>
      </c>
      <c r="C162" s="75" t="s">
        <v>161</v>
      </c>
      <c r="D162" s="75" t="s">
        <v>162</v>
      </c>
      <c r="E162" s="75" t="s">
        <v>77</v>
      </c>
      <c r="F162" s="75" t="s">
        <v>128</v>
      </c>
      <c r="G162" s="75" t="s">
        <v>145</v>
      </c>
      <c r="H162" s="75" t="s">
        <v>146</v>
      </c>
      <c r="I162" s="75" t="s">
        <v>69</v>
      </c>
      <c r="J162" s="75" t="s">
        <v>70</v>
      </c>
      <c r="K162" s="75" t="s">
        <v>60</v>
      </c>
      <c r="L162" s="75" t="s">
        <v>61</v>
      </c>
      <c r="M162" s="75" t="s">
        <v>62</v>
      </c>
      <c r="N162" s="75">
        <v>952</v>
      </c>
      <c r="O162" s="77">
        <v>43.52</v>
      </c>
      <c r="P162" s="77">
        <f t="shared" si="0"/>
        <v>41431.040000000001</v>
      </c>
      <c r="Q162" s="75">
        <v>16</v>
      </c>
      <c r="R162" s="75">
        <v>17</v>
      </c>
      <c r="S162" s="75">
        <f t="shared" si="2"/>
        <v>1</v>
      </c>
      <c r="T162" s="75" t="str">
        <f t="shared" si="1"/>
        <v>No</v>
      </c>
      <c r="U162" s="75">
        <v>1261</v>
      </c>
      <c r="V162" s="75">
        <v>640</v>
      </c>
      <c r="W162" s="75">
        <v>889</v>
      </c>
      <c r="X162" s="75">
        <v>1.5</v>
      </c>
      <c r="Y162" s="75">
        <v>2</v>
      </c>
      <c r="Z162" s="77">
        <v>33.58</v>
      </c>
      <c r="AA162" s="77">
        <v>6110</v>
      </c>
      <c r="AB162" s="78">
        <v>0.73</v>
      </c>
    </row>
    <row r="163" spans="1:28" ht="15.75" customHeight="1" x14ac:dyDescent="0.3">
      <c r="A163" s="71" t="s">
        <v>344</v>
      </c>
      <c r="B163" s="72">
        <v>45267</v>
      </c>
      <c r="C163" s="71" t="s">
        <v>85</v>
      </c>
      <c r="D163" s="71" t="s">
        <v>86</v>
      </c>
      <c r="E163" s="71" t="s">
        <v>87</v>
      </c>
      <c r="F163" s="71" t="s">
        <v>128</v>
      </c>
      <c r="G163" s="71" t="s">
        <v>197</v>
      </c>
      <c r="H163" s="71" t="s">
        <v>198</v>
      </c>
      <c r="I163" s="71" t="s">
        <v>58</v>
      </c>
      <c r="J163" s="71" t="s">
        <v>59</v>
      </c>
      <c r="K163" s="71" t="s">
        <v>91</v>
      </c>
      <c r="L163" s="71" t="s">
        <v>92</v>
      </c>
      <c r="M163" s="71" t="s">
        <v>51</v>
      </c>
      <c r="N163" s="71">
        <v>843</v>
      </c>
      <c r="O163" s="73">
        <v>339.42</v>
      </c>
      <c r="P163" s="73">
        <f t="shared" si="0"/>
        <v>286131.06</v>
      </c>
      <c r="Q163" s="71">
        <v>29</v>
      </c>
      <c r="R163" s="71">
        <v>35</v>
      </c>
      <c r="S163" s="71">
        <f t="shared" si="2"/>
        <v>6</v>
      </c>
      <c r="T163" s="71" t="str">
        <f t="shared" si="1"/>
        <v>No</v>
      </c>
      <c r="U163" s="71">
        <v>2607</v>
      </c>
      <c r="V163" s="71">
        <v>437</v>
      </c>
      <c r="W163" s="71">
        <v>390</v>
      </c>
      <c r="X163" s="71">
        <v>2</v>
      </c>
      <c r="Y163" s="71">
        <v>4</v>
      </c>
      <c r="Z163" s="73">
        <v>252.26</v>
      </c>
      <c r="AA163" s="73">
        <v>4249</v>
      </c>
      <c r="AB163" s="74">
        <v>0.71</v>
      </c>
    </row>
    <row r="164" spans="1:28" ht="15.75" customHeight="1" x14ac:dyDescent="0.3">
      <c r="A164" s="71" t="s">
        <v>345</v>
      </c>
      <c r="B164" s="72">
        <v>45272</v>
      </c>
      <c r="C164" s="71" t="s">
        <v>181</v>
      </c>
      <c r="D164" s="71" t="s">
        <v>182</v>
      </c>
      <c r="E164" s="71" t="s">
        <v>127</v>
      </c>
      <c r="F164" s="71" t="s">
        <v>44</v>
      </c>
      <c r="G164" s="71" t="s">
        <v>67</v>
      </c>
      <c r="H164" s="71" t="s">
        <v>68</v>
      </c>
      <c r="I164" s="71" t="s">
        <v>69</v>
      </c>
      <c r="J164" s="71" t="s">
        <v>70</v>
      </c>
      <c r="K164" s="71" t="s">
        <v>71</v>
      </c>
      <c r="L164" s="71" t="s">
        <v>72</v>
      </c>
      <c r="M164" s="71" t="s">
        <v>73</v>
      </c>
      <c r="N164" s="71">
        <v>189</v>
      </c>
      <c r="O164" s="73">
        <v>1947.57</v>
      </c>
      <c r="P164" s="73">
        <f t="shared" si="0"/>
        <v>368090.73</v>
      </c>
      <c r="Q164" s="71">
        <v>25</v>
      </c>
      <c r="R164" s="71">
        <v>30</v>
      </c>
      <c r="S164" s="71">
        <f t="shared" si="2"/>
        <v>5</v>
      </c>
      <c r="T164" s="71" t="str">
        <f t="shared" si="1"/>
        <v>No</v>
      </c>
      <c r="U164" s="71">
        <v>2130</v>
      </c>
      <c r="V164" s="71">
        <v>131</v>
      </c>
      <c r="W164" s="71">
        <v>141</v>
      </c>
      <c r="X164" s="71">
        <v>7</v>
      </c>
      <c r="Y164" s="71">
        <v>10</v>
      </c>
      <c r="Z164" s="73">
        <v>1205.69</v>
      </c>
      <c r="AA164" s="73">
        <v>1651</v>
      </c>
      <c r="AB164" s="74">
        <v>0.83</v>
      </c>
    </row>
    <row r="165" spans="1:28" ht="15.75" customHeight="1" x14ac:dyDescent="0.3">
      <c r="A165" s="75" t="s">
        <v>346</v>
      </c>
      <c r="B165" s="76">
        <v>45276</v>
      </c>
      <c r="C165" s="75" t="s">
        <v>53</v>
      </c>
      <c r="D165" s="75" t="s">
        <v>54</v>
      </c>
      <c r="E165" s="75" t="s">
        <v>43</v>
      </c>
      <c r="F165" s="75" t="s">
        <v>128</v>
      </c>
      <c r="G165" s="75" t="s">
        <v>122</v>
      </c>
      <c r="H165" s="75" t="s">
        <v>123</v>
      </c>
      <c r="I165" s="75" t="s">
        <v>69</v>
      </c>
      <c r="J165" s="75" t="s">
        <v>80</v>
      </c>
      <c r="K165" s="75" t="s">
        <v>71</v>
      </c>
      <c r="L165" s="75" t="s">
        <v>72</v>
      </c>
      <c r="M165" s="75" t="s">
        <v>73</v>
      </c>
      <c r="N165" s="75">
        <v>874</v>
      </c>
      <c r="O165" s="77">
        <v>658.85</v>
      </c>
      <c r="P165" s="77">
        <f t="shared" si="0"/>
        <v>575834.9</v>
      </c>
      <c r="Q165" s="75">
        <v>22</v>
      </c>
      <c r="R165" s="75">
        <v>31</v>
      </c>
      <c r="S165" s="75">
        <f t="shared" si="2"/>
        <v>9</v>
      </c>
      <c r="T165" s="75" t="str">
        <f t="shared" si="1"/>
        <v>No</v>
      </c>
      <c r="U165" s="75">
        <v>1957</v>
      </c>
      <c r="V165" s="75">
        <v>1013</v>
      </c>
      <c r="W165" s="75">
        <v>1068</v>
      </c>
      <c r="X165" s="75">
        <v>3.5</v>
      </c>
      <c r="Y165" s="75">
        <v>5</v>
      </c>
      <c r="Z165" s="77">
        <v>454.94</v>
      </c>
      <c r="AA165" s="77">
        <v>1298</v>
      </c>
      <c r="AB165" s="78">
        <v>0.91</v>
      </c>
    </row>
    <row r="166" spans="1:28" ht="15.75" customHeight="1" x14ac:dyDescent="0.3">
      <c r="A166" s="75" t="s">
        <v>347</v>
      </c>
      <c r="B166" s="76">
        <v>45279</v>
      </c>
      <c r="C166" s="75" t="s">
        <v>181</v>
      </c>
      <c r="D166" s="75" t="s">
        <v>182</v>
      </c>
      <c r="E166" s="75" t="s">
        <v>127</v>
      </c>
      <c r="F166" s="75" t="s">
        <v>66</v>
      </c>
      <c r="G166" s="75" t="s">
        <v>152</v>
      </c>
      <c r="H166" s="75" t="s">
        <v>153</v>
      </c>
      <c r="I166" s="75" t="s">
        <v>58</v>
      </c>
      <c r="J166" s="75" t="s">
        <v>59</v>
      </c>
      <c r="K166" s="75" t="s">
        <v>91</v>
      </c>
      <c r="L166" s="75" t="s">
        <v>92</v>
      </c>
      <c r="M166" s="75" t="s">
        <v>51</v>
      </c>
      <c r="N166" s="75">
        <v>525</v>
      </c>
      <c r="O166" s="77">
        <v>1937.26</v>
      </c>
      <c r="P166" s="77">
        <f t="shared" si="0"/>
        <v>1017061.5</v>
      </c>
      <c r="Q166" s="75">
        <v>10</v>
      </c>
      <c r="R166" s="75">
        <v>6</v>
      </c>
      <c r="S166" s="75">
        <f t="shared" si="2"/>
        <v>0</v>
      </c>
      <c r="T166" s="75" t="str">
        <f t="shared" si="1"/>
        <v>Yes</v>
      </c>
      <c r="U166" s="75">
        <v>1241</v>
      </c>
      <c r="V166" s="75">
        <v>755</v>
      </c>
      <c r="W166" s="75">
        <v>844</v>
      </c>
      <c r="X166" s="75">
        <v>7</v>
      </c>
      <c r="Y166" s="75">
        <v>10</v>
      </c>
      <c r="Z166" s="77">
        <v>1363.94</v>
      </c>
      <c r="AA166" s="77">
        <v>4793</v>
      </c>
      <c r="AB166" s="78">
        <v>0.79</v>
      </c>
    </row>
    <row r="167" spans="1:28" ht="15.75" customHeight="1" x14ac:dyDescent="0.3">
      <c r="A167" s="75" t="s">
        <v>348</v>
      </c>
      <c r="B167" s="76">
        <v>45284</v>
      </c>
      <c r="C167" s="75" t="s">
        <v>75</v>
      </c>
      <c r="D167" s="75" t="s">
        <v>76</v>
      </c>
      <c r="E167" s="75" t="s">
        <v>77</v>
      </c>
      <c r="F167" s="75" t="s">
        <v>55</v>
      </c>
      <c r="G167" s="75" t="s">
        <v>311</v>
      </c>
      <c r="H167" s="75" t="s">
        <v>312</v>
      </c>
      <c r="I167" s="75" t="s">
        <v>58</v>
      </c>
      <c r="J167" s="75" t="s">
        <v>96</v>
      </c>
      <c r="K167" s="75" t="s">
        <v>81</v>
      </c>
      <c r="L167" s="75" t="s">
        <v>82</v>
      </c>
      <c r="M167" s="75" t="s">
        <v>83</v>
      </c>
      <c r="N167" s="75">
        <v>597</v>
      </c>
      <c r="O167" s="77">
        <v>90.88</v>
      </c>
      <c r="P167" s="77">
        <f t="shared" si="0"/>
        <v>54255.360000000001</v>
      </c>
      <c r="Q167" s="75">
        <v>17</v>
      </c>
      <c r="R167" s="75">
        <v>21</v>
      </c>
      <c r="S167" s="75">
        <f t="shared" si="2"/>
        <v>4</v>
      </c>
      <c r="T167" s="75" t="str">
        <f t="shared" si="1"/>
        <v>No</v>
      </c>
      <c r="U167" s="75">
        <v>619</v>
      </c>
      <c r="V167" s="75">
        <v>387</v>
      </c>
      <c r="W167" s="75">
        <v>387</v>
      </c>
      <c r="X167" s="75">
        <v>2</v>
      </c>
      <c r="Y167" s="75">
        <v>3</v>
      </c>
      <c r="Z167" s="77">
        <v>67.510000000000005</v>
      </c>
      <c r="AA167" s="77">
        <v>3337</v>
      </c>
      <c r="AB167" s="78">
        <v>0.96</v>
      </c>
    </row>
    <row r="168" spans="1:28" ht="15.75" customHeight="1" x14ac:dyDescent="0.3">
      <c r="A168" s="79" t="s">
        <v>349</v>
      </c>
      <c r="B168" s="80">
        <v>45287</v>
      </c>
      <c r="C168" s="79" t="s">
        <v>133</v>
      </c>
      <c r="D168" s="79" t="s">
        <v>134</v>
      </c>
      <c r="E168" s="79" t="s">
        <v>100</v>
      </c>
      <c r="F168" s="79" t="s">
        <v>66</v>
      </c>
      <c r="G168" s="79" t="s">
        <v>145</v>
      </c>
      <c r="H168" s="79" t="s">
        <v>146</v>
      </c>
      <c r="I168" s="79" t="s">
        <v>69</v>
      </c>
      <c r="J168" s="79" t="s">
        <v>70</v>
      </c>
      <c r="K168" s="79" t="s">
        <v>189</v>
      </c>
      <c r="L168" s="79" t="s">
        <v>190</v>
      </c>
      <c r="M168" s="79" t="s">
        <v>73</v>
      </c>
      <c r="N168" s="79">
        <v>510</v>
      </c>
      <c r="O168" s="81">
        <v>1986.63</v>
      </c>
      <c r="P168" s="81">
        <f t="shared" si="0"/>
        <v>1013181.3</v>
      </c>
      <c r="Q168" s="79">
        <v>22</v>
      </c>
      <c r="R168" s="79">
        <v>26</v>
      </c>
      <c r="S168" s="79">
        <f t="shared" si="2"/>
        <v>4</v>
      </c>
      <c r="T168" s="79" t="str">
        <f t="shared" si="1"/>
        <v>No</v>
      </c>
      <c r="U168" s="79">
        <v>158</v>
      </c>
      <c r="V168" s="79">
        <v>666</v>
      </c>
      <c r="W168" s="79">
        <v>567</v>
      </c>
      <c r="X168" s="79">
        <v>8</v>
      </c>
      <c r="Y168" s="79">
        <v>12</v>
      </c>
      <c r="Z168" s="81">
        <v>1516.99</v>
      </c>
      <c r="AA168" s="81">
        <v>897</v>
      </c>
      <c r="AB168" s="82">
        <v>0.91</v>
      </c>
    </row>
    <row r="169" spans="1:28" ht="15.75" customHeight="1" x14ac:dyDescent="0.3">
      <c r="A169" s="75" t="s">
        <v>350</v>
      </c>
      <c r="B169" s="76">
        <v>45289</v>
      </c>
      <c r="C169" s="75" t="s">
        <v>241</v>
      </c>
      <c r="D169" s="75" t="s">
        <v>242</v>
      </c>
      <c r="E169" s="75" t="s">
        <v>100</v>
      </c>
      <c r="F169" s="75" t="s">
        <v>128</v>
      </c>
      <c r="G169" s="75" t="s">
        <v>311</v>
      </c>
      <c r="H169" s="75" t="s">
        <v>312</v>
      </c>
      <c r="I169" s="75" t="s">
        <v>58</v>
      </c>
      <c r="J169" s="75" t="s">
        <v>96</v>
      </c>
      <c r="K169" s="75" t="s">
        <v>189</v>
      </c>
      <c r="L169" s="75" t="s">
        <v>190</v>
      </c>
      <c r="M169" s="75" t="s">
        <v>73</v>
      </c>
      <c r="N169" s="75">
        <v>329</v>
      </c>
      <c r="O169" s="77">
        <v>1481.87</v>
      </c>
      <c r="P169" s="77">
        <f t="shared" si="0"/>
        <v>487535.23</v>
      </c>
      <c r="Q169" s="75">
        <v>23</v>
      </c>
      <c r="R169" s="75">
        <v>26</v>
      </c>
      <c r="S169" s="75">
        <f t="shared" si="2"/>
        <v>3</v>
      </c>
      <c r="T169" s="75" t="str">
        <f t="shared" si="1"/>
        <v>No</v>
      </c>
      <c r="U169" s="75">
        <v>653</v>
      </c>
      <c r="V169" s="75">
        <v>357</v>
      </c>
      <c r="W169" s="75">
        <v>341</v>
      </c>
      <c r="X169" s="75">
        <v>5</v>
      </c>
      <c r="Y169" s="75">
        <v>7</v>
      </c>
      <c r="Z169" s="77">
        <v>921.19</v>
      </c>
      <c r="AA169" s="77">
        <v>7425</v>
      </c>
      <c r="AB169" s="78">
        <v>0.86</v>
      </c>
    </row>
    <row r="170" spans="1:28" ht="15.75" customHeight="1" x14ac:dyDescent="0.3">
      <c r="A170" s="71" t="s">
        <v>351</v>
      </c>
      <c r="B170" s="72">
        <v>45293</v>
      </c>
      <c r="C170" s="71" t="s">
        <v>187</v>
      </c>
      <c r="D170" s="71" t="s">
        <v>188</v>
      </c>
      <c r="E170" s="71" t="s">
        <v>100</v>
      </c>
      <c r="F170" s="71" t="s">
        <v>128</v>
      </c>
      <c r="G170" s="71" t="s">
        <v>311</v>
      </c>
      <c r="H170" s="71" t="s">
        <v>312</v>
      </c>
      <c r="I170" s="71" t="s">
        <v>58</v>
      </c>
      <c r="J170" s="71" t="s">
        <v>96</v>
      </c>
      <c r="K170" s="71" t="s">
        <v>189</v>
      </c>
      <c r="L170" s="71" t="s">
        <v>190</v>
      </c>
      <c r="M170" s="71" t="s">
        <v>73</v>
      </c>
      <c r="N170" s="71">
        <v>318</v>
      </c>
      <c r="O170" s="73">
        <v>4416.8900000000003</v>
      </c>
      <c r="P170" s="73">
        <f t="shared" si="0"/>
        <v>1404571.02</v>
      </c>
      <c r="Q170" s="71">
        <v>14</v>
      </c>
      <c r="R170" s="71">
        <v>19</v>
      </c>
      <c r="S170" s="71">
        <f t="shared" si="2"/>
        <v>5</v>
      </c>
      <c r="T170" s="71" t="str">
        <f t="shared" si="1"/>
        <v>No</v>
      </c>
      <c r="U170" s="71">
        <v>1582</v>
      </c>
      <c r="V170" s="71">
        <v>246</v>
      </c>
      <c r="W170" s="71">
        <v>310</v>
      </c>
      <c r="X170" s="71">
        <v>12</v>
      </c>
      <c r="Y170" s="71">
        <v>18</v>
      </c>
      <c r="Z170" s="73">
        <v>3068.85</v>
      </c>
      <c r="AA170" s="73">
        <v>4870</v>
      </c>
      <c r="AB170" s="74">
        <v>0.76</v>
      </c>
    </row>
    <row r="171" spans="1:28" ht="15.75" customHeight="1" x14ac:dyDescent="0.3">
      <c r="A171" s="71" t="s">
        <v>352</v>
      </c>
      <c r="B171" s="72">
        <v>45297</v>
      </c>
      <c r="C171" s="71" t="s">
        <v>117</v>
      </c>
      <c r="D171" s="71" t="s">
        <v>118</v>
      </c>
      <c r="E171" s="71" t="s">
        <v>87</v>
      </c>
      <c r="F171" s="71" t="s">
        <v>66</v>
      </c>
      <c r="G171" s="71" t="s">
        <v>114</v>
      </c>
      <c r="H171" s="71" t="s">
        <v>115</v>
      </c>
      <c r="I171" s="71" t="s">
        <v>58</v>
      </c>
      <c r="J171" s="71" t="s">
        <v>90</v>
      </c>
      <c r="K171" s="71" t="s">
        <v>81</v>
      </c>
      <c r="L171" s="71" t="s">
        <v>82</v>
      </c>
      <c r="M171" s="71" t="s">
        <v>83</v>
      </c>
      <c r="N171" s="71">
        <v>761</v>
      </c>
      <c r="O171" s="73">
        <v>2266.96</v>
      </c>
      <c r="P171" s="73">
        <f t="shared" si="0"/>
        <v>1725156.56</v>
      </c>
      <c r="Q171" s="71">
        <v>25</v>
      </c>
      <c r="R171" s="71">
        <v>27</v>
      </c>
      <c r="S171" s="71">
        <f t="shared" si="2"/>
        <v>2</v>
      </c>
      <c r="T171" s="71" t="str">
        <f t="shared" si="1"/>
        <v>No</v>
      </c>
      <c r="U171" s="71">
        <v>2542</v>
      </c>
      <c r="V171" s="71">
        <v>966</v>
      </c>
      <c r="W171" s="71">
        <v>1136</v>
      </c>
      <c r="X171" s="71">
        <v>7</v>
      </c>
      <c r="Y171" s="71">
        <v>10</v>
      </c>
      <c r="Z171" s="73">
        <v>1579.39</v>
      </c>
      <c r="AA171" s="73">
        <v>4068</v>
      </c>
      <c r="AB171" s="74">
        <v>0.93</v>
      </c>
    </row>
    <row r="172" spans="1:28" ht="15.75" customHeight="1" x14ac:dyDescent="0.3">
      <c r="A172" s="75" t="s">
        <v>353</v>
      </c>
      <c r="B172" s="76">
        <v>45297</v>
      </c>
      <c r="C172" s="75" t="s">
        <v>64</v>
      </c>
      <c r="D172" s="75" t="s">
        <v>65</v>
      </c>
      <c r="E172" s="75" t="s">
        <v>43</v>
      </c>
      <c r="F172" s="75" t="s">
        <v>113</v>
      </c>
      <c r="G172" s="75" t="s">
        <v>251</v>
      </c>
      <c r="H172" s="75" t="s">
        <v>252</v>
      </c>
      <c r="I172" s="75" t="s">
        <v>137</v>
      </c>
      <c r="J172" s="75" t="s">
        <v>138</v>
      </c>
      <c r="K172" s="75" t="s">
        <v>108</v>
      </c>
      <c r="L172" s="75" t="s">
        <v>109</v>
      </c>
      <c r="M172" s="75" t="s">
        <v>62</v>
      </c>
      <c r="N172" s="75">
        <v>259</v>
      </c>
      <c r="O172" s="77">
        <v>454.01</v>
      </c>
      <c r="P172" s="77">
        <f t="shared" si="0"/>
        <v>117588.59</v>
      </c>
      <c r="Q172" s="75">
        <v>17</v>
      </c>
      <c r="R172" s="75">
        <v>23</v>
      </c>
      <c r="S172" s="75">
        <f t="shared" si="2"/>
        <v>6</v>
      </c>
      <c r="T172" s="75" t="str">
        <f t="shared" si="1"/>
        <v>No</v>
      </c>
      <c r="U172" s="75">
        <v>342</v>
      </c>
      <c r="V172" s="75">
        <v>200</v>
      </c>
      <c r="W172" s="75">
        <v>203</v>
      </c>
      <c r="X172" s="75">
        <v>3</v>
      </c>
      <c r="Y172" s="75">
        <v>5</v>
      </c>
      <c r="Z172" s="77">
        <v>303.24</v>
      </c>
      <c r="AA172" s="77">
        <v>3228</v>
      </c>
      <c r="AB172" s="78">
        <v>0.92</v>
      </c>
    </row>
    <row r="173" spans="1:28" ht="15.75" customHeight="1" x14ac:dyDescent="0.3">
      <c r="A173" s="71" t="s">
        <v>354</v>
      </c>
      <c r="B173" s="72">
        <v>45302</v>
      </c>
      <c r="C173" s="71" t="s">
        <v>75</v>
      </c>
      <c r="D173" s="71" t="s">
        <v>76</v>
      </c>
      <c r="E173" s="71" t="s">
        <v>77</v>
      </c>
      <c r="F173" s="71" t="s">
        <v>128</v>
      </c>
      <c r="G173" s="71" t="s">
        <v>56</v>
      </c>
      <c r="H173" s="71" t="s">
        <v>57</v>
      </c>
      <c r="I173" s="71" t="s">
        <v>58</v>
      </c>
      <c r="J173" s="71" t="s">
        <v>59</v>
      </c>
      <c r="K173" s="71" t="s">
        <v>60</v>
      </c>
      <c r="L173" s="71" t="s">
        <v>61</v>
      </c>
      <c r="M173" s="71" t="s">
        <v>62</v>
      </c>
      <c r="N173" s="71">
        <v>569</v>
      </c>
      <c r="O173" s="73">
        <v>81.14</v>
      </c>
      <c r="P173" s="73">
        <f t="shared" si="0"/>
        <v>46168.66</v>
      </c>
      <c r="Q173" s="71">
        <v>18</v>
      </c>
      <c r="R173" s="71">
        <v>17</v>
      </c>
      <c r="S173" s="71">
        <f t="shared" si="2"/>
        <v>0</v>
      </c>
      <c r="T173" s="71" t="str">
        <f t="shared" si="1"/>
        <v>Yes</v>
      </c>
      <c r="U173" s="71">
        <v>2697</v>
      </c>
      <c r="V173" s="71">
        <v>683</v>
      </c>
      <c r="W173" s="71">
        <v>688</v>
      </c>
      <c r="X173" s="71">
        <v>2</v>
      </c>
      <c r="Y173" s="71">
        <v>3</v>
      </c>
      <c r="Z173" s="73">
        <v>64.900000000000006</v>
      </c>
      <c r="AA173" s="73">
        <v>4184</v>
      </c>
      <c r="AB173" s="74">
        <v>0.77</v>
      </c>
    </row>
    <row r="174" spans="1:28" ht="15.75" customHeight="1" x14ac:dyDescent="0.3">
      <c r="A174" s="75" t="s">
        <v>355</v>
      </c>
      <c r="B174" s="76">
        <v>45306</v>
      </c>
      <c r="C174" s="75" t="s">
        <v>125</v>
      </c>
      <c r="D174" s="75" t="s">
        <v>126</v>
      </c>
      <c r="E174" s="75" t="s">
        <v>127</v>
      </c>
      <c r="F174" s="75" t="s">
        <v>113</v>
      </c>
      <c r="G174" s="75" t="s">
        <v>229</v>
      </c>
      <c r="H174" s="75" t="s">
        <v>230</v>
      </c>
      <c r="I174" s="75" t="s">
        <v>69</v>
      </c>
      <c r="J174" s="75" t="s">
        <v>70</v>
      </c>
      <c r="K174" s="75" t="s">
        <v>49</v>
      </c>
      <c r="L174" s="75" t="s">
        <v>50</v>
      </c>
      <c r="M174" s="75" t="s">
        <v>51</v>
      </c>
      <c r="N174" s="75">
        <v>894</v>
      </c>
      <c r="O174" s="77">
        <v>3057.02</v>
      </c>
      <c r="P174" s="77">
        <f t="shared" si="0"/>
        <v>2732975.88</v>
      </c>
      <c r="Q174" s="75">
        <v>9</v>
      </c>
      <c r="R174" s="75">
        <v>7</v>
      </c>
      <c r="S174" s="75">
        <f t="shared" si="2"/>
        <v>0</v>
      </c>
      <c r="T174" s="75" t="str">
        <f t="shared" si="1"/>
        <v>Yes</v>
      </c>
      <c r="U174" s="75">
        <v>1088</v>
      </c>
      <c r="V174" s="75">
        <v>861</v>
      </c>
      <c r="W174" s="75">
        <v>1040</v>
      </c>
      <c r="X174" s="75">
        <v>11</v>
      </c>
      <c r="Y174" s="75">
        <v>15</v>
      </c>
      <c r="Z174" s="77">
        <v>2274.4299999999998</v>
      </c>
      <c r="AA174" s="77">
        <v>2918</v>
      </c>
      <c r="AB174" s="78">
        <v>0.74</v>
      </c>
    </row>
    <row r="175" spans="1:28" ht="15.75" customHeight="1" x14ac:dyDescent="0.3">
      <c r="A175" s="71" t="s">
        <v>356</v>
      </c>
      <c r="B175" s="72">
        <v>45307</v>
      </c>
      <c r="C175" s="71" t="s">
        <v>111</v>
      </c>
      <c r="D175" s="71" t="s">
        <v>112</v>
      </c>
      <c r="E175" s="71" t="s">
        <v>87</v>
      </c>
      <c r="F175" s="71" t="s">
        <v>66</v>
      </c>
      <c r="G175" s="71" t="s">
        <v>217</v>
      </c>
      <c r="H175" s="71" t="s">
        <v>218</v>
      </c>
      <c r="I175" s="71" t="s">
        <v>137</v>
      </c>
      <c r="J175" s="71" t="s">
        <v>138</v>
      </c>
      <c r="K175" s="71" t="s">
        <v>81</v>
      </c>
      <c r="L175" s="71" t="s">
        <v>82</v>
      </c>
      <c r="M175" s="71" t="s">
        <v>83</v>
      </c>
      <c r="N175" s="71">
        <v>644</v>
      </c>
      <c r="O175" s="73">
        <v>952.9</v>
      </c>
      <c r="P175" s="73">
        <f t="shared" si="0"/>
        <v>613667.6</v>
      </c>
      <c r="Q175" s="71">
        <v>22</v>
      </c>
      <c r="R175" s="71">
        <v>25</v>
      </c>
      <c r="S175" s="71">
        <f t="shared" si="2"/>
        <v>3</v>
      </c>
      <c r="T175" s="71" t="str">
        <f t="shared" si="1"/>
        <v>No</v>
      </c>
      <c r="U175" s="71">
        <v>2518</v>
      </c>
      <c r="V175" s="71">
        <v>364</v>
      </c>
      <c r="W175" s="71">
        <v>307</v>
      </c>
      <c r="X175" s="71">
        <v>4</v>
      </c>
      <c r="Y175" s="71">
        <v>6</v>
      </c>
      <c r="Z175" s="73">
        <v>728.75</v>
      </c>
      <c r="AA175" s="73">
        <v>7949</v>
      </c>
      <c r="AB175" s="74">
        <v>0.9</v>
      </c>
    </row>
    <row r="176" spans="1:28" ht="15.75" customHeight="1" x14ac:dyDescent="0.3">
      <c r="A176" s="71" t="s">
        <v>357</v>
      </c>
      <c r="B176" s="72">
        <v>45310</v>
      </c>
      <c r="C176" s="71" t="s">
        <v>187</v>
      </c>
      <c r="D176" s="71" t="s">
        <v>188</v>
      </c>
      <c r="E176" s="71" t="s">
        <v>100</v>
      </c>
      <c r="F176" s="71" t="s">
        <v>44</v>
      </c>
      <c r="G176" s="71" t="s">
        <v>178</v>
      </c>
      <c r="H176" s="71" t="s">
        <v>179</v>
      </c>
      <c r="I176" s="71" t="s">
        <v>58</v>
      </c>
      <c r="J176" s="71" t="s">
        <v>59</v>
      </c>
      <c r="K176" s="71" t="s">
        <v>104</v>
      </c>
      <c r="L176" s="71" t="s">
        <v>105</v>
      </c>
      <c r="M176" s="71" t="s">
        <v>106</v>
      </c>
      <c r="N176" s="71">
        <v>54</v>
      </c>
      <c r="O176" s="73">
        <v>4091.26</v>
      </c>
      <c r="P176" s="73">
        <f t="shared" si="0"/>
        <v>220928.04</v>
      </c>
      <c r="Q176" s="71">
        <v>25</v>
      </c>
      <c r="R176" s="71">
        <v>26</v>
      </c>
      <c r="S176" s="71">
        <f t="shared" si="2"/>
        <v>1</v>
      </c>
      <c r="T176" s="71" t="str">
        <f t="shared" si="1"/>
        <v>No</v>
      </c>
      <c r="U176" s="71">
        <v>1332</v>
      </c>
      <c r="V176" s="71">
        <v>49</v>
      </c>
      <c r="W176" s="71">
        <v>71</v>
      </c>
      <c r="X176" s="71">
        <v>12</v>
      </c>
      <c r="Y176" s="71">
        <v>18</v>
      </c>
      <c r="Z176" s="73">
        <v>2591.7199999999998</v>
      </c>
      <c r="AA176" s="73">
        <v>6835</v>
      </c>
      <c r="AB176" s="74">
        <v>0.85</v>
      </c>
    </row>
    <row r="177" spans="1:28" ht="15.75" customHeight="1" x14ac:dyDescent="0.3">
      <c r="A177" s="71" t="s">
        <v>358</v>
      </c>
      <c r="B177" s="72">
        <v>45310</v>
      </c>
      <c r="C177" s="71" t="s">
        <v>75</v>
      </c>
      <c r="D177" s="71" t="s">
        <v>76</v>
      </c>
      <c r="E177" s="71" t="s">
        <v>77</v>
      </c>
      <c r="F177" s="71" t="s">
        <v>44</v>
      </c>
      <c r="G177" s="71" t="s">
        <v>192</v>
      </c>
      <c r="H177" s="71" t="s">
        <v>193</v>
      </c>
      <c r="I177" s="71" t="s">
        <v>137</v>
      </c>
      <c r="J177" s="71" t="s">
        <v>138</v>
      </c>
      <c r="K177" s="71" t="s">
        <v>60</v>
      </c>
      <c r="L177" s="71" t="s">
        <v>61</v>
      </c>
      <c r="M177" s="71" t="s">
        <v>62</v>
      </c>
      <c r="N177" s="71">
        <v>315</v>
      </c>
      <c r="O177" s="73">
        <v>91.04</v>
      </c>
      <c r="P177" s="73">
        <f t="shared" si="0"/>
        <v>28677.600000000002</v>
      </c>
      <c r="Q177" s="71">
        <v>20</v>
      </c>
      <c r="R177" s="71">
        <v>19</v>
      </c>
      <c r="S177" s="71">
        <f t="shared" si="2"/>
        <v>0</v>
      </c>
      <c r="T177" s="71" t="str">
        <f t="shared" si="1"/>
        <v>Yes</v>
      </c>
      <c r="U177" s="71">
        <v>1397</v>
      </c>
      <c r="V177" s="71">
        <v>468</v>
      </c>
      <c r="W177" s="71">
        <v>584</v>
      </c>
      <c r="X177" s="71">
        <v>2</v>
      </c>
      <c r="Y177" s="71">
        <v>3</v>
      </c>
      <c r="Z177" s="73">
        <v>70.31</v>
      </c>
      <c r="AA177" s="73">
        <v>2639</v>
      </c>
      <c r="AB177" s="74">
        <v>0.88</v>
      </c>
    </row>
    <row r="178" spans="1:28" ht="15.75" customHeight="1" x14ac:dyDescent="0.3">
      <c r="A178" s="71" t="s">
        <v>359</v>
      </c>
      <c r="B178" s="72">
        <v>45314</v>
      </c>
      <c r="C178" s="71" t="s">
        <v>53</v>
      </c>
      <c r="D178" s="71" t="s">
        <v>54</v>
      </c>
      <c r="E178" s="71" t="s">
        <v>43</v>
      </c>
      <c r="F178" s="71" t="s">
        <v>44</v>
      </c>
      <c r="G178" s="71" t="s">
        <v>45</v>
      </c>
      <c r="H178" s="71" t="s">
        <v>46</v>
      </c>
      <c r="I178" s="71" t="s">
        <v>47</v>
      </c>
      <c r="J178" s="71" t="s">
        <v>48</v>
      </c>
      <c r="K178" s="71" t="s">
        <v>108</v>
      </c>
      <c r="L178" s="71" t="s">
        <v>109</v>
      </c>
      <c r="M178" s="71" t="s">
        <v>62</v>
      </c>
      <c r="N178" s="71">
        <v>858</v>
      </c>
      <c r="O178" s="73">
        <v>662.92</v>
      </c>
      <c r="P178" s="73">
        <f t="shared" si="0"/>
        <v>568785.36</v>
      </c>
      <c r="Q178" s="71">
        <v>23</v>
      </c>
      <c r="R178" s="71">
        <v>31</v>
      </c>
      <c r="S178" s="71">
        <f t="shared" si="2"/>
        <v>8</v>
      </c>
      <c r="T178" s="71" t="str">
        <f t="shared" si="1"/>
        <v>No</v>
      </c>
      <c r="U178" s="71">
        <v>2834</v>
      </c>
      <c r="V178" s="71">
        <v>489</v>
      </c>
      <c r="W178" s="71">
        <v>545</v>
      </c>
      <c r="X178" s="71">
        <v>3.5</v>
      </c>
      <c r="Y178" s="71">
        <v>5</v>
      </c>
      <c r="Z178" s="73">
        <v>503.71</v>
      </c>
      <c r="AA178" s="73">
        <v>773</v>
      </c>
      <c r="AB178" s="74">
        <v>0.78</v>
      </c>
    </row>
    <row r="179" spans="1:28" ht="15.75" customHeight="1" x14ac:dyDescent="0.3">
      <c r="A179" s="79" t="s">
        <v>360</v>
      </c>
      <c r="B179" s="80">
        <v>45326</v>
      </c>
      <c r="C179" s="79" t="s">
        <v>206</v>
      </c>
      <c r="D179" s="79" t="s">
        <v>207</v>
      </c>
      <c r="E179" s="79" t="s">
        <v>127</v>
      </c>
      <c r="F179" s="79" t="s">
        <v>128</v>
      </c>
      <c r="G179" s="79" t="s">
        <v>140</v>
      </c>
      <c r="H179" s="79" t="s">
        <v>141</v>
      </c>
      <c r="I179" s="79" t="s">
        <v>58</v>
      </c>
      <c r="J179" s="79" t="s">
        <v>90</v>
      </c>
      <c r="K179" s="79" t="s">
        <v>91</v>
      </c>
      <c r="L179" s="79" t="s">
        <v>92</v>
      </c>
      <c r="M179" s="79" t="s">
        <v>51</v>
      </c>
      <c r="N179" s="79">
        <v>392</v>
      </c>
      <c r="O179" s="81">
        <v>915.24</v>
      </c>
      <c r="P179" s="81">
        <f t="shared" si="0"/>
        <v>358774.08</v>
      </c>
      <c r="Q179" s="79">
        <v>5</v>
      </c>
      <c r="R179" s="79">
        <v>8</v>
      </c>
      <c r="S179" s="79">
        <f t="shared" si="2"/>
        <v>3</v>
      </c>
      <c r="T179" s="79" t="str">
        <f t="shared" si="1"/>
        <v>No</v>
      </c>
      <c r="U179" s="79">
        <v>296</v>
      </c>
      <c r="V179" s="79">
        <v>279</v>
      </c>
      <c r="W179" s="79">
        <v>366</v>
      </c>
      <c r="X179" s="79">
        <v>4</v>
      </c>
      <c r="Y179" s="79">
        <v>6</v>
      </c>
      <c r="Z179" s="81">
        <v>664.15</v>
      </c>
      <c r="AA179" s="81">
        <v>6820</v>
      </c>
      <c r="AB179" s="82">
        <v>0.86</v>
      </c>
    </row>
    <row r="180" spans="1:28" ht="15.75" customHeight="1" x14ac:dyDescent="0.3">
      <c r="A180" s="71" t="s">
        <v>361</v>
      </c>
      <c r="B180" s="72">
        <v>45327</v>
      </c>
      <c r="C180" s="71" t="s">
        <v>75</v>
      </c>
      <c r="D180" s="71" t="s">
        <v>76</v>
      </c>
      <c r="E180" s="71" t="s">
        <v>77</v>
      </c>
      <c r="F180" s="71" t="s">
        <v>55</v>
      </c>
      <c r="G180" s="71" t="s">
        <v>140</v>
      </c>
      <c r="H180" s="71" t="s">
        <v>141</v>
      </c>
      <c r="I180" s="71" t="s">
        <v>58</v>
      </c>
      <c r="J180" s="71" t="s">
        <v>90</v>
      </c>
      <c r="K180" s="71" t="s">
        <v>81</v>
      </c>
      <c r="L180" s="71" t="s">
        <v>82</v>
      </c>
      <c r="M180" s="71" t="s">
        <v>83</v>
      </c>
      <c r="N180" s="71">
        <v>315</v>
      </c>
      <c r="O180" s="73">
        <v>90.89</v>
      </c>
      <c r="P180" s="73">
        <f t="shared" si="0"/>
        <v>28630.35</v>
      </c>
      <c r="Q180" s="71">
        <v>30</v>
      </c>
      <c r="R180" s="71">
        <v>38</v>
      </c>
      <c r="S180" s="71">
        <f t="shared" si="2"/>
        <v>8</v>
      </c>
      <c r="T180" s="71" t="str">
        <f t="shared" si="1"/>
        <v>No</v>
      </c>
      <c r="U180" s="71">
        <v>1548</v>
      </c>
      <c r="V180" s="71">
        <v>456</v>
      </c>
      <c r="W180" s="71">
        <v>368</v>
      </c>
      <c r="X180" s="71">
        <v>2</v>
      </c>
      <c r="Y180" s="71">
        <v>3</v>
      </c>
      <c r="Z180" s="73">
        <v>70.44</v>
      </c>
      <c r="AA180" s="73">
        <v>1658</v>
      </c>
      <c r="AB180" s="74">
        <v>0.73</v>
      </c>
    </row>
    <row r="181" spans="1:28" ht="15.75" customHeight="1" x14ac:dyDescent="0.3">
      <c r="A181" s="71" t="s">
        <v>362</v>
      </c>
      <c r="B181" s="72">
        <v>45329</v>
      </c>
      <c r="C181" s="71" t="s">
        <v>53</v>
      </c>
      <c r="D181" s="71" t="s">
        <v>54</v>
      </c>
      <c r="E181" s="71" t="s">
        <v>43</v>
      </c>
      <c r="F181" s="71" t="s">
        <v>128</v>
      </c>
      <c r="G181" s="71" t="s">
        <v>78</v>
      </c>
      <c r="H181" s="71" t="s">
        <v>79</v>
      </c>
      <c r="I181" s="71" t="s">
        <v>69</v>
      </c>
      <c r="J181" s="71" t="s">
        <v>80</v>
      </c>
      <c r="K181" s="71" t="s">
        <v>49</v>
      </c>
      <c r="L181" s="71" t="s">
        <v>50</v>
      </c>
      <c r="M181" s="71" t="s">
        <v>51</v>
      </c>
      <c r="N181" s="71">
        <v>214</v>
      </c>
      <c r="O181" s="73">
        <v>681.24</v>
      </c>
      <c r="P181" s="73">
        <f t="shared" si="0"/>
        <v>145785.36000000002</v>
      </c>
      <c r="Q181" s="71">
        <v>22</v>
      </c>
      <c r="R181" s="71">
        <v>22</v>
      </c>
      <c r="S181" s="71">
        <f t="shared" si="2"/>
        <v>0</v>
      </c>
      <c r="T181" s="71" t="str">
        <f t="shared" si="1"/>
        <v>Yes</v>
      </c>
      <c r="U181" s="71">
        <v>2812</v>
      </c>
      <c r="V181" s="71">
        <v>261</v>
      </c>
      <c r="W181" s="71">
        <v>213</v>
      </c>
      <c r="X181" s="71">
        <v>3.5</v>
      </c>
      <c r="Y181" s="71">
        <v>5</v>
      </c>
      <c r="Z181" s="73">
        <v>507.82</v>
      </c>
      <c r="AA181" s="73">
        <v>6302</v>
      </c>
      <c r="AB181" s="74">
        <v>0.76</v>
      </c>
    </row>
    <row r="182" spans="1:28" ht="15.75" customHeight="1" x14ac:dyDescent="0.3">
      <c r="A182" s="71" t="s">
        <v>363</v>
      </c>
      <c r="B182" s="72">
        <v>45331</v>
      </c>
      <c r="C182" s="71" t="s">
        <v>206</v>
      </c>
      <c r="D182" s="71" t="s">
        <v>207</v>
      </c>
      <c r="E182" s="71" t="s">
        <v>127</v>
      </c>
      <c r="F182" s="71" t="s">
        <v>128</v>
      </c>
      <c r="G182" s="71" t="s">
        <v>45</v>
      </c>
      <c r="H182" s="71" t="s">
        <v>46</v>
      </c>
      <c r="I182" s="71" t="s">
        <v>47</v>
      </c>
      <c r="J182" s="71" t="s">
        <v>48</v>
      </c>
      <c r="K182" s="71" t="s">
        <v>49</v>
      </c>
      <c r="L182" s="71" t="s">
        <v>50</v>
      </c>
      <c r="M182" s="71" t="s">
        <v>51</v>
      </c>
      <c r="N182" s="71">
        <v>446</v>
      </c>
      <c r="O182" s="73">
        <v>896.04</v>
      </c>
      <c r="P182" s="73">
        <f t="shared" si="0"/>
        <v>399633.83999999997</v>
      </c>
      <c r="Q182" s="71">
        <v>11</v>
      </c>
      <c r="R182" s="71">
        <v>11</v>
      </c>
      <c r="S182" s="71">
        <f t="shared" si="2"/>
        <v>0</v>
      </c>
      <c r="T182" s="71" t="str">
        <f t="shared" si="1"/>
        <v>Yes</v>
      </c>
      <c r="U182" s="71">
        <v>1146</v>
      </c>
      <c r="V182" s="71">
        <v>283</v>
      </c>
      <c r="W182" s="71">
        <v>401</v>
      </c>
      <c r="X182" s="71">
        <v>4</v>
      </c>
      <c r="Y182" s="71">
        <v>6</v>
      </c>
      <c r="Z182" s="73">
        <v>543.83000000000004</v>
      </c>
      <c r="AA182" s="73">
        <v>5572</v>
      </c>
      <c r="AB182" s="74">
        <v>0.87</v>
      </c>
    </row>
    <row r="183" spans="1:28" ht="15.75" customHeight="1" x14ac:dyDescent="0.3">
      <c r="A183" s="71" t="s">
        <v>364</v>
      </c>
      <c r="B183" s="72">
        <v>45332</v>
      </c>
      <c r="C183" s="71" t="s">
        <v>187</v>
      </c>
      <c r="D183" s="71" t="s">
        <v>188</v>
      </c>
      <c r="E183" s="71" t="s">
        <v>100</v>
      </c>
      <c r="F183" s="71" t="s">
        <v>128</v>
      </c>
      <c r="G183" s="71" t="s">
        <v>67</v>
      </c>
      <c r="H183" s="71" t="s">
        <v>68</v>
      </c>
      <c r="I183" s="71" t="s">
        <v>69</v>
      </c>
      <c r="J183" s="71" t="s">
        <v>70</v>
      </c>
      <c r="K183" s="71" t="s">
        <v>104</v>
      </c>
      <c r="L183" s="71" t="s">
        <v>105</v>
      </c>
      <c r="M183" s="71" t="s">
        <v>106</v>
      </c>
      <c r="N183" s="71">
        <v>276</v>
      </c>
      <c r="O183" s="73">
        <v>4641.09</v>
      </c>
      <c r="P183" s="73">
        <f t="shared" si="0"/>
        <v>1280940.8400000001</v>
      </c>
      <c r="Q183" s="71">
        <v>10</v>
      </c>
      <c r="R183" s="71">
        <v>8</v>
      </c>
      <c r="S183" s="71">
        <f t="shared" si="2"/>
        <v>0</v>
      </c>
      <c r="T183" s="71" t="str">
        <f t="shared" si="1"/>
        <v>Yes</v>
      </c>
      <c r="U183" s="71">
        <v>1676</v>
      </c>
      <c r="V183" s="71">
        <v>365</v>
      </c>
      <c r="W183" s="71">
        <v>434</v>
      </c>
      <c r="X183" s="71">
        <v>12</v>
      </c>
      <c r="Y183" s="71">
        <v>18</v>
      </c>
      <c r="Z183" s="73">
        <v>3295.29</v>
      </c>
      <c r="AA183" s="73">
        <v>1275</v>
      </c>
      <c r="AB183" s="74">
        <v>0.83</v>
      </c>
    </row>
    <row r="184" spans="1:28" ht="15.75" customHeight="1" x14ac:dyDescent="0.3">
      <c r="A184" s="79" t="s">
        <v>365</v>
      </c>
      <c r="B184" s="80">
        <v>45334</v>
      </c>
      <c r="C184" s="79" t="s">
        <v>187</v>
      </c>
      <c r="D184" s="79" t="s">
        <v>188</v>
      </c>
      <c r="E184" s="79" t="s">
        <v>100</v>
      </c>
      <c r="F184" s="79" t="s">
        <v>55</v>
      </c>
      <c r="G184" s="79" t="s">
        <v>140</v>
      </c>
      <c r="H184" s="79" t="s">
        <v>141</v>
      </c>
      <c r="I184" s="79" t="s">
        <v>58</v>
      </c>
      <c r="J184" s="79" t="s">
        <v>90</v>
      </c>
      <c r="K184" s="79" t="s">
        <v>189</v>
      </c>
      <c r="L184" s="79" t="s">
        <v>190</v>
      </c>
      <c r="M184" s="79" t="s">
        <v>73</v>
      </c>
      <c r="N184" s="79">
        <v>523</v>
      </c>
      <c r="O184" s="81">
        <v>4585.47</v>
      </c>
      <c r="P184" s="81">
        <f t="shared" si="0"/>
        <v>2398200.81</v>
      </c>
      <c r="Q184" s="79">
        <v>18</v>
      </c>
      <c r="R184" s="79">
        <v>22</v>
      </c>
      <c r="S184" s="79">
        <f t="shared" si="2"/>
        <v>4</v>
      </c>
      <c r="T184" s="79" t="str">
        <f t="shared" si="1"/>
        <v>No</v>
      </c>
      <c r="U184" s="79">
        <v>357</v>
      </c>
      <c r="V184" s="79">
        <v>558</v>
      </c>
      <c r="W184" s="79">
        <v>656</v>
      </c>
      <c r="X184" s="79">
        <v>12</v>
      </c>
      <c r="Y184" s="79">
        <v>18</v>
      </c>
      <c r="Z184" s="81">
        <v>2891.3</v>
      </c>
      <c r="AA184" s="81">
        <v>1184</v>
      </c>
      <c r="AB184" s="82">
        <v>0.79</v>
      </c>
    </row>
    <row r="185" spans="1:28" ht="15.75" customHeight="1" x14ac:dyDescent="0.3">
      <c r="A185" s="71" t="s">
        <v>366</v>
      </c>
      <c r="B185" s="72">
        <v>45336</v>
      </c>
      <c r="C185" s="71" t="s">
        <v>161</v>
      </c>
      <c r="D185" s="71" t="s">
        <v>162</v>
      </c>
      <c r="E185" s="71" t="s">
        <v>77</v>
      </c>
      <c r="F185" s="71" t="s">
        <v>66</v>
      </c>
      <c r="G185" s="71" t="s">
        <v>140</v>
      </c>
      <c r="H185" s="71" t="s">
        <v>141</v>
      </c>
      <c r="I185" s="71" t="s">
        <v>58</v>
      </c>
      <c r="J185" s="71" t="s">
        <v>90</v>
      </c>
      <c r="K185" s="71" t="s">
        <v>81</v>
      </c>
      <c r="L185" s="71" t="s">
        <v>82</v>
      </c>
      <c r="M185" s="71" t="s">
        <v>83</v>
      </c>
      <c r="N185" s="71">
        <v>924</v>
      </c>
      <c r="O185" s="73">
        <v>48.95</v>
      </c>
      <c r="P185" s="73">
        <f t="shared" si="0"/>
        <v>45229.8</v>
      </c>
      <c r="Q185" s="71">
        <v>29</v>
      </c>
      <c r="R185" s="71">
        <v>28</v>
      </c>
      <c r="S185" s="71">
        <f t="shared" si="2"/>
        <v>0</v>
      </c>
      <c r="T185" s="71" t="str">
        <f t="shared" si="1"/>
        <v>Yes</v>
      </c>
      <c r="U185" s="71">
        <v>1761</v>
      </c>
      <c r="V185" s="71">
        <v>519</v>
      </c>
      <c r="W185" s="71">
        <v>707</v>
      </c>
      <c r="X185" s="71">
        <v>1.5</v>
      </c>
      <c r="Y185" s="71">
        <v>2</v>
      </c>
      <c r="Z185" s="73">
        <v>36.18</v>
      </c>
      <c r="AA185" s="73">
        <v>4305</v>
      </c>
      <c r="AB185" s="74">
        <v>0.71</v>
      </c>
    </row>
    <row r="186" spans="1:28" ht="15.75" customHeight="1" x14ac:dyDescent="0.3">
      <c r="A186" s="71" t="s">
        <v>367</v>
      </c>
      <c r="B186" s="72">
        <v>45337</v>
      </c>
      <c r="C186" s="71" t="s">
        <v>75</v>
      </c>
      <c r="D186" s="71" t="s">
        <v>76</v>
      </c>
      <c r="E186" s="71" t="s">
        <v>77</v>
      </c>
      <c r="F186" s="71" t="s">
        <v>44</v>
      </c>
      <c r="G186" s="71" t="s">
        <v>78</v>
      </c>
      <c r="H186" s="71" t="s">
        <v>79</v>
      </c>
      <c r="I186" s="71" t="s">
        <v>69</v>
      </c>
      <c r="J186" s="71" t="s">
        <v>80</v>
      </c>
      <c r="K186" s="71" t="s">
        <v>60</v>
      </c>
      <c r="L186" s="71" t="s">
        <v>61</v>
      </c>
      <c r="M186" s="71" t="s">
        <v>62</v>
      </c>
      <c r="N186" s="71">
        <v>566</v>
      </c>
      <c r="O186" s="73">
        <v>77.28</v>
      </c>
      <c r="P186" s="73">
        <f t="shared" si="0"/>
        <v>43740.480000000003</v>
      </c>
      <c r="Q186" s="71">
        <v>16</v>
      </c>
      <c r="R186" s="71">
        <v>22</v>
      </c>
      <c r="S186" s="71">
        <f t="shared" si="2"/>
        <v>6</v>
      </c>
      <c r="T186" s="71" t="str">
        <f t="shared" si="1"/>
        <v>No</v>
      </c>
      <c r="U186" s="71">
        <v>2452</v>
      </c>
      <c r="V186" s="71">
        <v>603</v>
      </c>
      <c r="W186" s="71">
        <v>518</v>
      </c>
      <c r="X186" s="71">
        <v>2</v>
      </c>
      <c r="Y186" s="71">
        <v>3</v>
      </c>
      <c r="Z186" s="73">
        <v>58.25</v>
      </c>
      <c r="AA186" s="73">
        <v>5887</v>
      </c>
      <c r="AB186" s="74">
        <v>0.89</v>
      </c>
    </row>
    <row r="187" spans="1:28" ht="15.75" customHeight="1" x14ac:dyDescent="0.3">
      <c r="A187" s="71" t="s">
        <v>368</v>
      </c>
      <c r="B187" s="72">
        <v>45340</v>
      </c>
      <c r="C187" s="71" t="s">
        <v>111</v>
      </c>
      <c r="D187" s="71" t="s">
        <v>112</v>
      </c>
      <c r="E187" s="71" t="s">
        <v>87</v>
      </c>
      <c r="F187" s="71" t="s">
        <v>44</v>
      </c>
      <c r="G187" s="71" t="s">
        <v>212</v>
      </c>
      <c r="H187" s="71" t="s">
        <v>213</v>
      </c>
      <c r="I187" s="71" t="s">
        <v>214</v>
      </c>
      <c r="J187" s="71" t="s">
        <v>138</v>
      </c>
      <c r="K187" s="71" t="s">
        <v>81</v>
      </c>
      <c r="L187" s="71" t="s">
        <v>82</v>
      </c>
      <c r="M187" s="71" t="s">
        <v>83</v>
      </c>
      <c r="N187" s="71">
        <v>644</v>
      </c>
      <c r="O187" s="73">
        <v>782.42</v>
      </c>
      <c r="P187" s="73">
        <f t="shared" si="0"/>
        <v>503878.48</v>
      </c>
      <c r="Q187" s="71">
        <v>26</v>
      </c>
      <c r="R187" s="71">
        <v>33</v>
      </c>
      <c r="S187" s="71">
        <f t="shared" si="2"/>
        <v>7</v>
      </c>
      <c r="T187" s="71" t="str">
        <f t="shared" si="1"/>
        <v>No</v>
      </c>
      <c r="U187" s="71">
        <v>2335</v>
      </c>
      <c r="V187" s="71">
        <v>597</v>
      </c>
      <c r="W187" s="71">
        <v>868</v>
      </c>
      <c r="X187" s="71">
        <v>4</v>
      </c>
      <c r="Y187" s="71">
        <v>6</v>
      </c>
      <c r="Z187" s="73">
        <v>501.42</v>
      </c>
      <c r="AA187" s="73">
        <v>6367</v>
      </c>
      <c r="AB187" s="74">
        <v>0.79</v>
      </c>
    </row>
    <row r="188" spans="1:28" ht="15.75" customHeight="1" x14ac:dyDescent="0.3">
      <c r="A188" s="75" t="s">
        <v>369</v>
      </c>
      <c r="B188" s="76">
        <v>45341</v>
      </c>
      <c r="C188" s="75" t="s">
        <v>133</v>
      </c>
      <c r="D188" s="75" t="s">
        <v>134</v>
      </c>
      <c r="E188" s="75" t="s">
        <v>100</v>
      </c>
      <c r="F188" s="75" t="s">
        <v>66</v>
      </c>
      <c r="G188" s="75" t="s">
        <v>140</v>
      </c>
      <c r="H188" s="75" t="s">
        <v>141</v>
      </c>
      <c r="I188" s="75" t="s">
        <v>58</v>
      </c>
      <c r="J188" s="75" t="s">
        <v>90</v>
      </c>
      <c r="K188" s="75" t="s">
        <v>189</v>
      </c>
      <c r="L188" s="75" t="s">
        <v>190</v>
      </c>
      <c r="M188" s="75" t="s">
        <v>73</v>
      </c>
      <c r="N188" s="75">
        <v>452</v>
      </c>
      <c r="O188" s="77">
        <v>2097.6799999999998</v>
      </c>
      <c r="P188" s="77">
        <f t="shared" si="0"/>
        <v>948151.35999999987</v>
      </c>
      <c r="Q188" s="75">
        <v>28</v>
      </c>
      <c r="R188" s="75">
        <v>35</v>
      </c>
      <c r="S188" s="75">
        <f t="shared" si="2"/>
        <v>7</v>
      </c>
      <c r="T188" s="75" t="str">
        <f t="shared" si="1"/>
        <v>No</v>
      </c>
      <c r="U188" s="75">
        <v>828</v>
      </c>
      <c r="V188" s="75">
        <v>379</v>
      </c>
      <c r="W188" s="75">
        <v>417</v>
      </c>
      <c r="X188" s="75">
        <v>8</v>
      </c>
      <c r="Y188" s="75">
        <v>12</v>
      </c>
      <c r="Z188" s="77">
        <v>1260.48</v>
      </c>
      <c r="AA188" s="77">
        <v>2259</v>
      </c>
      <c r="AB188" s="78">
        <v>0.76</v>
      </c>
    </row>
    <row r="189" spans="1:28" ht="15.75" customHeight="1" x14ac:dyDescent="0.3">
      <c r="A189" s="71" t="s">
        <v>370</v>
      </c>
      <c r="B189" s="72">
        <v>45342</v>
      </c>
      <c r="C189" s="71" t="s">
        <v>53</v>
      </c>
      <c r="D189" s="71" t="s">
        <v>54</v>
      </c>
      <c r="E189" s="71" t="s">
        <v>43</v>
      </c>
      <c r="F189" s="71" t="s">
        <v>44</v>
      </c>
      <c r="G189" s="71" t="s">
        <v>171</v>
      </c>
      <c r="H189" s="71" t="s">
        <v>172</v>
      </c>
      <c r="I189" s="71" t="s">
        <v>58</v>
      </c>
      <c r="J189" s="71" t="s">
        <v>90</v>
      </c>
      <c r="K189" s="71" t="s">
        <v>71</v>
      </c>
      <c r="L189" s="71" t="s">
        <v>72</v>
      </c>
      <c r="M189" s="71" t="s">
        <v>73</v>
      </c>
      <c r="N189" s="71">
        <v>985</v>
      </c>
      <c r="O189" s="73">
        <v>590.05999999999995</v>
      </c>
      <c r="P189" s="73">
        <f t="shared" si="0"/>
        <v>581209.1</v>
      </c>
      <c r="Q189" s="71">
        <v>24</v>
      </c>
      <c r="R189" s="71">
        <v>32</v>
      </c>
      <c r="S189" s="71">
        <f t="shared" si="2"/>
        <v>8</v>
      </c>
      <c r="T189" s="71" t="str">
        <f t="shared" si="1"/>
        <v>No</v>
      </c>
      <c r="U189" s="71">
        <v>1814</v>
      </c>
      <c r="V189" s="71">
        <v>336</v>
      </c>
      <c r="W189" s="71">
        <v>284</v>
      </c>
      <c r="X189" s="71">
        <v>3.5</v>
      </c>
      <c r="Y189" s="71">
        <v>5</v>
      </c>
      <c r="Z189" s="73">
        <v>445.91</v>
      </c>
      <c r="AA189" s="73">
        <v>3500</v>
      </c>
      <c r="AB189" s="74">
        <v>0.8</v>
      </c>
    </row>
    <row r="190" spans="1:28" ht="15.75" customHeight="1" x14ac:dyDescent="0.3">
      <c r="A190" s="71" t="s">
        <v>371</v>
      </c>
      <c r="B190" s="72">
        <v>45343</v>
      </c>
      <c r="C190" s="71" t="s">
        <v>155</v>
      </c>
      <c r="D190" s="71" t="s">
        <v>156</v>
      </c>
      <c r="E190" s="71" t="s">
        <v>87</v>
      </c>
      <c r="F190" s="71" t="s">
        <v>66</v>
      </c>
      <c r="G190" s="71" t="s">
        <v>78</v>
      </c>
      <c r="H190" s="71" t="s">
        <v>79</v>
      </c>
      <c r="I190" s="71" t="s">
        <v>69</v>
      </c>
      <c r="J190" s="71" t="s">
        <v>80</v>
      </c>
      <c r="K190" s="71" t="s">
        <v>81</v>
      </c>
      <c r="L190" s="71" t="s">
        <v>82</v>
      </c>
      <c r="M190" s="71" t="s">
        <v>83</v>
      </c>
      <c r="N190" s="71">
        <v>895</v>
      </c>
      <c r="O190" s="73">
        <v>169.31</v>
      </c>
      <c r="P190" s="73">
        <f t="shared" si="0"/>
        <v>151532.45000000001</v>
      </c>
      <c r="Q190" s="71">
        <v>30</v>
      </c>
      <c r="R190" s="71">
        <v>30</v>
      </c>
      <c r="S190" s="71">
        <f t="shared" si="2"/>
        <v>0</v>
      </c>
      <c r="T190" s="71" t="str">
        <f t="shared" si="1"/>
        <v>Yes</v>
      </c>
      <c r="U190" s="71">
        <v>1708</v>
      </c>
      <c r="V190" s="71">
        <v>295</v>
      </c>
      <c r="W190" s="71">
        <v>388</v>
      </c>
      <c r="X190" s="71">
        <v>2.5</v>
      </c>
      <c r="Y190" s="71">
        <v>4</v>
      </c>
      <c r="Z190" s="73">
        <v>112.84</v>
      </c>
      <c r="AA190" s="73">
        <v>3872</v>
      </c>
      <c r="AB190" s="74">
        <v>0.92</v>
      </c>
    </row>
    <row r="191" spans="1:28" ht="15.75" customHeight="1" x14ac:dyDescent="0.3">
      <c r="A191" s="71" t="s">
        <v>372</v>
      </c>
      <c r="B191" s="72">
        <v>45344</v>
      </c>
      <c r="C191" s="71" t="s">
        <v>125</v>
      </c>
      <c r="D191" s="71" t="s">
        <v>126</v>
      </c>
      <c r="E191" s="71" t="s">
        <v>127</v>
      </c>
      <c r="F191" s="71" t="s">
        <v>44</v>
      </c>
      <c r="G191" s="71" t="s">
        <v>178</v>
      </c>
      <c r="H191" s="71" t="s">
        <v>179</v>
      </c>
      <c r="I191" s="71" t="s">
        <v>58</v>
      </c>
      <c r="J191" s="71" t="s">
        <v>59</v>
      </c>
      <c r="K191" s="71" t="s">
        <v>91</v>
      </c>
      <c r="L191" s="71" t="s">
        <v>92</v>
      </c>
      <c r="M191" s="71" t="s">
        <v>51</v>
      </c>
      <c r="N191" s="71">
        <v>73</v>
      </c>
      <c r="O191" s="73">
        <v>3045.47</v>
      </c>
      <c r="P191" s="73">
        <f t="shared" si="0"/>
        <v>222319.31</v>
      </c>
      <c r="Q191" s="71">
        <v>18</v>
      </c>
      <c r="R191" s="71">
        <v>22</v>
      </c>
      <c r="S191" s="71">
        <f t="shared" si="2"/>
        <v>4</v>
      </c>
      <c r="T191" s="71" t="str">
        <f t="shared" si="1"/>
        <v>No</v>
      </c>
      <c r="U191" s="71">
        <v>2412</v>
      </c>
      <c r="V191" s="71">
        <v>104</v>
      </c>
      <c r="W191" s="71">
        <v>84</v>
      </c>
      <c r="X191" s="71">
        <v>11</v>
      </c>
      <c r="Y191" s="71">
        <v>15</v>
      </c>
      <c r="Z191" s="73">
        <v>2363.6799999999998</v>
      </c>
      <c r="AA191" s="73">
        <v>5216</v>
      </c>
      <c r="AB191" s="74">
        <v>0.81</v>
      </c>
    </row>
    <row r="192" spans="1:28" ht="15.75" customHeight="1" x14ac:dyDescent="0.3">
      <c r="A192" s="71" t="s">
        <v>373</v>
      </c>
      <c r="B192" s="72">
        <v>45346</v>
      </c>
      <c r="C192" s="71" t="s">
        <v>111</v>
      </c>
      <c r="D192" s="71" t="s">
        <v>112</v>
      </c>
      <c r="E192" s="71" t="s">
        <v>87</v>
      </c>
      <c r="F192" s="71" t="s">
        <v>55</v>
      </c>
      <c r="G192" s="71" t="s">
        <v>192</v>
      </c>
      <c r="H192" s="71" t="s">
        <v>193</v>
      </c>
      <c r="I192" s="71" t="s">
        <v>137</v>
      </c>
      <c r="J192" s="71" t="s">
        <v>138</v>
      </c>
      <c r="K192" s="71" t="s">
        <v>81</v>
      </c>
      <c r="L192" s="71" t="s">
        <v>82</v>
      </c>
      <c r="M192" s="71" t="s">
        <v>83</v>
      </c>
      <c r="N192" s="71">
        <v>202</v>
      </c>
      <c r="O192" s="73">
        <v>790.66</v>
      </c>
      <c r="P192" s="73">
        <f t="shared" si="0"/>
        <v>159713.32</v>
      </c>
      <c r="Q192" s="71">
        <v>17</v>
      </c>
      <c r="R192" s="71">
        <v>18</v>
      </c>
      <c r="S192" s="71">
        <f t="shared" si="2"/>
        <v>1</v>
      </c>
      <c r="T192" s="71" t="str">
        <f t="shared" si="1"/>
        <v>No</v>
      </c>
      <c r="U192" s="71">
        <v>1892</v>
      </c>
      <c r="V192" s="71">
        <v>260</v>
      </c>
      <c r="W192" s="71">
        <v>242</v>
      </c>
      <c r="X192" s="71">
        <v>4</v>
      </c>
      <c r="Y192" s="71">
        <v>6</v>
      </c>
      <c r="Z192" s="73">
        <v>527.83000000000004</v>
      </c>
      <c r="AA192" s="73">
        <v>6702</v>
      </c>
      <c r="AB192" s="74">
        <v>0.82</v>
      </c>
    </row>
    <row r="193" spans="1:28" ht="15.75" customHeight="1" x14ac:dyDescent="0.3">
      <c r="A193" s="71" t="s">
        <v>374</v>
      </c>
      <c r="B193" s="72">
        <v>45347</v>
      </c>
      <c r="C193" s="71" t="s">
        <v>234</v>
      </c>
      <c r="D193" s="71" t="s">
        <v>235</v>
      </c>
      <c r="E193" s="71" t="s">
        <v>43</v>
      </c>
      <c r="F193" s="71" t="s">
        <v>55</v>
      </c>
      <c r="G193" s="71" t="s">
        <v>145</v>
      </c>
      <c r="H193" s="71" t="s">
        <v>146</v>
      </c>
      <c r="I193" s="71" t="s">
        <v>69</v>
      </c>
      <c r="J193" s="71" t="s">
        <v>70</v>
      </c>
      <c r="K193" s="71" t="s">
        <v>60</v>
      </c>
      <c r="L193" s="71" t="s">
        <v>61</v>
      </c>
      <c r="M193" s="71" t="s">
        <v>62</v>
      </c>
      <c r="N193" s="71">
        <v>732</v>
      </c>
      <c r="O193" s="73">
        <v>1354.03</v>
      </c>
      <c r="P193" s="73">
        <f t="shared" si="0"/>
        <v>991149.96</v>
      </c>
      <c r="Q193" s="71">
        <v>17</v>
      </c>
      <c r="R193" s="71">
        <v>21</v>
      </c>
      <c r="S193" s="71">
        <f t="shared" si="2"/>
        <v>4</v>
      </c>
      <c r="T193" s="71" t="str">
        <f t="shared" si="1"/>
        <v>No</v>
      </c>
      <c r="U193" s="71">
        <v>2738</v>
      </c>
      <c r="V193" s="71">
        <v>915</v>
      </c>
      <c r="W193" s="71">
        <v>1149</v>
      </c>
      <c r="X193" s="71">
        <v>5</v>
      </c>
      <c r="Y193" s="71">
        <v>8</v>
      </c>
      <c r="Z193" s="73">
        <v>853.61</v>
      </c>
      <c r="AA193" s="73">
        <v>803</v>
      </c>
      <c r="AB193" s="74">
        <v>0.74</v>
      </c>
    </row>
    <row r="194" spans="1:28" ht="15.75" customHeight="1" x14ac:dyDescent="0.3">
      <c r="A194" s="71" t="s">
        <v>375</v>
      </c>
      <c r="B194" s="72">
        <v>45347</v>
      </c>
      <c r="C194" s="71" t="s">
        <v>221</v>
      </c>
      <c r="D194" s="71" t="s">
        <v>222</v>
      </c>
      <c r="E194" s="71" t="s">
        <v>77</v>
      </c>
      <c r="F194" s="71" t="s">
        <v>113</v>
      </c>
      <c r="G194" s="71" t="s">
        <v>140</v>
      </c>
      <c r="H194" s="71" t="s">
        <v>141</v>
      </c>
      <c r="I194" s="71" t="s">
        <v>58</v>
      </c>
      <c r="J194" s="71" t="s">
        <v>90</v>
      </c>
      <c r="K194" s="71" t="s">
        <v>60</v>
      </c>
      <c r="L194" s="71" t="s">
        <v>61</v>
      </c>
      <c r="M194" s="71" t="s">
        <v>62</v>
      </c>
      <c r="N194" s="71">
        <v>595</v>
      </c>
      <c r="O194" s="73">
        <v>29.46</v>
      </c>
      <c r="P194" s="73">
        <f t="shared" si="0"/>
        <v>17528.7</v>
      </c>
      <c r="Q194" s="71">
        <v>6</v>
      </c>
      <c r="R194" s="71">
        <v>6</v>
      </c>
      <c r="S194" s="71">
        <f t="shared" si="2"/>
        <v>0</v>
      </c>
      <c r="T194" s="71" t="str">
        <f t="shared" si="1"/>
        <v>Yes</v>
      </c>
      <c r="U194" s="71">
        <v>1148</v>
      </c>
      <c r="V194" s="71">
        <v>466</v>
      </c>
      <c r="W194" s="71">
        <v>574</v>
      </c>
      <c r="X194" s="71">
        <v>1.2</v>
      </c>
      <c r="Y194" s="71">
        <v>2</v>
      </c>
      <c r="Z194" s="73">
        <v>21.69</v>
      </c>
      <c r="AA194" s="73">
        <v>3790</v>
      </c>
      <c r="AB194" s="74">
        <v>0.71</v>
      </c>
    </row>
    <row r="195" spans="1:28" ht="15.75" customHeight="1" x14ac:dyDescent="0.3">
      <c r="A195" s="71" t="s">
        <v>376</v>
      </c>
      <c r="B195" s="72">
        <v>45349</v>
      </c>
      <c r="C195" s="71" t="s">
        <v>85</v>
      </c>
      <c r="D195" s="71" t="s">
        <v>86</v>
      </c>
      <c r="E195" s="71" t="s">
        <v>87</v>
      </c>
      <c r="F195" s="71" t="s">
        <v>66</v>
      </c>
      <c r="G195" s="71" t="s">
        <v>175</v>
      </c>
      <c r="H195" s="71" t="s">
        <v>176</v>
      </c>
      <c r="I195" s="71" t="s">
        <v>58</v>
      </c>
      <c r="J195" s="71" t="s">
        <v>59</v>
      </c>
      <c r="K195" s="71" t="s">
        <v>81</v>
      </c>
      <c r="L195" s="71" t="s">
        <v>82</v>
      </c>
      <c r="M195" s="71" t="s">
        <v>83</v>
      </c>
      <c r="N195" s="71">
        <v>19</v>
      </c>
      <c r="O195" s="73">
        <v>305.5</v>
      </c>
      <c r="P195" s="73">
        <f t="shared" si="0"/>
        <v>5804.5</v>
      </c>
      <c r="Q195" s="71">
        <v>19</v>
      </c>
      <c r="R195" s="71">
        <v>22</v>
      </c>
      <c r="S195" s="71">
        <f t="shared" si="2"/>
        <v>3</v>
      </c>
      <c r="T195" s="71" t="str">
        <f t="shared" si="1"/>
        <v>No</v>
      </c>
      <c r="U195" s="71">
        <v>267</v>
      </c>
      <c r="V195" s="71">
        <v>19</v>
      </c>
      <c r="W195" s="71">
        <v>24</v>
      </c>
      <c r="X195" s="71">
        <v>2</v>
      </c>
      <c r="Y195" s="71">
        <v>4</v>
      </c>
      <c r="Z195" s="73">
        <v>220.97</v>
      </c>
      <c r="AA195" s="73">
        <v>4458</v>
      </c>
      <c r="AB195" s="74">
        <v>0.88</v>
      </c>
    </row>
    <row r="196" spans="1:28" ht="15.75" customHeight="1" x14ac:dyDescent="0.3">
      <c r="A196" s="79" t="s">
        <v>377</v>
      </c>
      <c r="B196" s="80">
        <v>45356</v>
      </c>
      <c r="C196" s="79" t="s">
        <v>111</v>
      </c>
      <c r="D196" s="79" t="s">
        <v>112</v>
      </c>
      <c r="E196" s="79" t="s">
        <v>87</v>
      </c>
      <c r="F196" s="79" t="s">
        <v>113</v>
      </c>
      <c r="G196" s="79" t="s">
        <v>265</v>
      </c>
      <c r="H196" s="79" t="s">
        <v>266</v>
      </c>
      <c r="I196" s="79" t="s">
        <v>69</v>
      </c>
      <c r="J196" s="79" t="s">
        <v>70</v>
      </c>
      <c r="K196" s="79" t="s">
        <v>81</v>
      </c>
      <c r="L196" s="79" t="s">
        <v>82</v>
      </c>
      <c r="M196" s="79" t="s">
        <v>83</v>
      </c>
      <c r="N196" s="79">
        <v>590</v>
      </c>
      <c r="O196" s="81">
        <v>889.94</v>
      </c>
      <c r="P196" s="81">
        <f t="shared" si="0"/>
        <v>525064.6</v>
      </c>
      <c r="Q196" s="79">
        <v>29</v>
      </c>
      <c r="R196" s="79">
        <v>28</v>
      </c>
      <c r="S196" s="79">
        <f t="shared" si="2"/>
        <v>0</v>
      </c>
      <c r="T196" s="79" t="str">
        <f t="shared" si="1"/>
        <v>Yes</v>
      </c>
      <c r="U196" s="79">
        <v>452</v>
      </c>
      <c r="V196" s="79">
        <v>575</v>
      </c>
      <c r="W196" s="79">
        <v>500</v>
      </c>
      <c r="X196" s="79">
        <v>4</v>
      </c>
      <c r="Y196" s="79">
        <v>6</v>
      </c>
      <c r="Z196" s="81">
        <v>584.88</v>
      </c>
      <c r="AA196" s="81">
        <v>4887</v>
      </c>
      <c r="AB196" s="82">
        <v>0.95</v>
      </c>
    </row>
    <row r="197" spans="1:28" ht="15.75" customHeight="1" x14ac:dyDescent="0.3">
      <c r="A197" s="79" t="s">
        <v>378</v>
      </c>
      <c r="B197" s="80">
        <v>45356</v>
      </c>
      <c r="C197" s="79" t="s">
        <v>155</v>
      </c>
      <c r="D197" s="79" t="s">
        <v>156</v>
      </c>
      <c r="E197" s="79" t="s">
        <v>87</v>
      </c>
      <c r="F197" s="79" t="s">
        <v>113</v>
      </c>
      <c r="G197" s="79" t="s">
        <v>175</v>
      </c>
      <c r="H197" s="79" t="s">
        <v>176</v>
      </c>
      <c r="I197" s="79" t="s">
        <v>58</v>
      </c>
      <c r="J197" s="79" t="s">
        <v>59</v>
      </c>
      <c r="K197" s="79" t="s">
        <v>81</v>
      </c>
      <c r="L197" s="79" t="s">
        <v>82</v>
      </c>
      <c r="M197" s="79" t="s">
        <v>83</v>
      </c>
      <c r="N197" s="79">
        <v>866</v>
      </c>
      <c r="O197" s="81">
        <v>202.73</v>
      </c>
      <c r="P197" s="81">
        <f t="shared" si="0"/>
        <v>175564.18</v>
      </c>
      <c r="Q197" s="79">
        <v>24</v>
      </c>
      <c r="R197" s="79">
        <v>30</v>
      </c>
      <c r="S197" s="79">
        <f t="shared" si="2"/>
        <v>6</v>
      </c>
      <c r="T197" s="79" t="str">
        <f t="shared" si="1"/>
        <v>No</v>
      </c>
      <c r="U197" s="79">
        <v>87</v>
      </c>
      <c r="V197" s="79">
        <v>916</v>
      </c>
      <c r="W197" s="79">
        <v>1101</v>
      </c>
      <c r="X197" s="79">
        <v>2.5</v>
      </c>
      <c r="Y197" s="79">
        <v>4</v>
      </c>
      <c r="Z197" s="81">
        <v>150.77000000000001</v>
      </c>
      <c r="AA197" s="81">
        <v>2886</v>
      </c>
      <c r="AB197" s="82">
        <v>0.82</v>
      </c>
    </row>
    <row r="198" spans="1:28" ht="15.75" customHeight="1" x14ac:dyDescent="0.3">
      <c r="A198" s="71" t="s">
        <v>379</v>
      </c>
      <c r="B198" s="72">
        <v>45356</v>
      </c>
      <c r="C198" s="71" t="s">
        <v>155</v>
      </c>
      <c r="D198" s="71" t="s">
        <v>156</v>
      </c>
      <c r="E198" s="71" t="s">
        <v>87</v>
      </c>
      <c r="F198" s="71" t="s">
        <v>128</v>
      </c>
      <c r="G198" s="71" t="s">
        <v>212</v>
      </c>
      <c r="H198" s="71" t="s">
        <v>213</v>
      </c>
      <c r="I198" s="71" t="s">
        <v>214</v>
      </c>
      <c r="J198" s="71" t="s">
        <v>138</v>
      </c>
      <c r="K198" s="71" t="s">
        <v>81</v>
      </c>
      <c r="L198" s="71" t="s">
        <v>82</v>
      </c>
      <c r="M198" s="71" t="s">
        <v>83</v>
      </c>
      <c r="N198" s="71">
        <v>78</v>
      </c>
      <c r="O198" s="73">
        <v>166.54</v>
      </c>
      <c r="P198" s="73">
        <f t="shared" si="0"/>
        <v>12990.119999999999</v>
      </c>
      <c r="Q198" s="71">
        <v>6</v>
      </c>
      <c r="R198" s="71">
        <v>11</v>
      </c>
      <c r="S198" s="71">
        <f t="shared" si="2"/>
        <v>5</v>
      </c>
      <c r="T198" s="71" t="str">
        <f t="shared" si="1"/>
        <v>No</v>
      </c>
      <c r="U198" s="71">
        <v>2468</v>
      </c>
      <c r="V198" s="71">
        <v>86</v>
      </c>
      <c r="W198" s="71">
        <v>121</v>
      </c>
      <c r="X198" s="71">
        <v>2.5</v>
      </c>
      <c r="Y198" s="71">
        <v>4</v>
      </c>
      <c r="Z198" s="73">
        <v>108.08</v>
      </c>
      <c r="AA198" s="73">
        <v>862</v>
      </c>
      <c r="AB198" s="74">
        <v>0.81</v>
      </c>
    </row>
    <row r="199" spans="1:28" ht="15.75" customHeight="1" x14ac:dyDescent="0.3">
      <c r="A199" s="71" t="s">
        <v>380</v>
      </c>
      <c r="B199" s="72">
        <v>45358</v>
      </c>
      <c r="C199" s="71" t="s">
        <v>221</v>
      </c>
      <c r="D199" s="71" t="s">
        <v>222</v>
      </c>
      <c r="E199" s="71" t="s">
        <v>77</v>
      </c>
      <c r="F199" s="71" t="s">
        <v>128</v>
      </c>
      <c r="G199" s="71" t="s">
        <v>217</v>
      </c>
      <c r="H199" s="71" t="s">
        <v>218</v>
      </c>
      <c r="I199" s="71" t="s">
        <v>137</v>
      </c>
      <c r="J199" s="71" t="s">
        <v>138</v>
      </c>
      <c r="K199" s="71" t="s">
        <v>81</v>
      </c>
      <c r="L199" s="71" t="s">
        <v>82</v>
      </c>
      <c r="M199" s="71" t="s">
        <v>83</v>
      </c>
      <c r="N199" s="71">
        <v>777</v>
      </c>
      <c r="O199" s="73">
        <v>28.98</v>
      </c>
      <c r="P199" s="73">
        <f t="shared" si="0"/>
        <v>22517.46</v>
      </c>
      <c r="Q199" s="71">
        <v>16</v>
      </c>
      <c r="R199" s="71">
        <v>17</v>
      </c>
      <c r="S199" s="71">
        <f t="shared" si="2"/>
        <v>1</v>
      </c>
      <c r="T199" s="71" t="str">
        <f t="shared" si="1"/>
        <v>No</v>
      </c>
      <c r="U199" s="71">
        <v>2682</v>
      </c>
      <c r="V199" s="71">
        <v>297</v>
      </c>
      <c r="W199" s="71">
        <v>436</v>
      </c>
      <c r="X199" s="71">
        <v>1.2</v>
      </c>
      <c r="Y199" s="71">
        <v>2</v>
      </c>
      <c r="Z199" s="73">
        <v>17.62</v>
      </c>
      <c r="AA199" s="73">
        <v>754</v>
      </c>
      <c r="AB199" s="74">
        <v>0.97</v>
      </c>
    </row>
    <row r="200" spans="1:28" ht="15.75" customHeight="1" x14ac:dyDescent="0.3">
      <c r="A200" s="71" t="s">
        <v>381</v>
      </c>
      <c r="B200" s="72">
        <v>45359</v>
      </c>
      <c r="C200" s="71" t="s">
        <v>125</v>
      </c>
      <c r="D200" s="71" t="s">
        <v>126</v>
      </c>
      <c r="E200" s="71" t="s">
        <v>127</v>
      </c>
      <c r="F200" s="71" t="s">
        <v>55</v>
      </c>
      <c r="G200" s="71" t="s">
        <v>265</v>
      </c>
      <c r="H200" s="71" t="s">
        <v>266</v>
      </c>
      <c r="I200" s="71" t="s">
        <v>69</v>
      </c>
      <c r="J200" s="71" t="s">
        <v>70</v>
      </c>
      <c r="K200" s="71" t="s">
        <v>71</v>
      </c>
      <c r="L200" s="71" t="s">
        <v>72</v>
      </c>
      <c r="M200" s="71" t="s">
        <v>73</v>
      </c>
      <c r="N200" s="71">
        <v>990</v>
      </c>
      <c r="O200" s="73">
        <v>3490.8</v>
      </c>
      <c r="P200" s="73">
        <f t="shared" si="0"/>
        <v>3455892</v>
      </c>
      <c r="Q200" s="71">
        <v>8</v>
      </c>
      <c r="R200" s="71">
        <v>7</v>
      </c>
      <c r="S200" s="71">
        <f t="shared" si="2"/>
        <v>0</v>
      </c>
      <c r="T200" s="71" t="str">
        <f t="shared" si="1"/>
        <v>Yes</v>
      </c>
      <c r="U200" s="71">
        <v>1576</v>
      </c>
      <c r="V200" s="71">
        <v>411</v>
      </c>
      <c r="W200" s="71">
        <v>572</v>
      </c>
      <c r="X200" s="71">
        <v>11</v>
      </c>
      <c r="Y200" s="71">
        <v>15</v>
      </c>
      <c r="Z200" s="73">
        <v>2515.9699999999998</v>
      </c>
      <c r="AA200" s="73">
        <v>7111</v>
      </c>
      <c r="AB200" s="74">
        <v>0.71</v>
      </c>
    </row>
    <row r="201" spans="1:28" ht="15.75" customHeight="1" x14ac:dyDescent="0.3">
      <c r="A201" s="71" t="s">
        <v>382</v>
      </c>
      <c r="B201" s="72">
        <v>45360</v>
      </c>
      <c r="C201" s="71" t="s">
        <v>169</v>
      </c>
      <c r="D201" s="71" t="s">
        <v>170</v>
      </c>
      <c r="E201" s="71" t="s">
        <v>100</v>
      </c>
      <c r="F201" s="71" t="s">
        <v>44</v>
      </c>
      <c r="G201" s="71" t="s">
        <v>56</v>
      </c>
      <c r="H201" s="71" t="s">
        <v>57</v>
      </c>
      <c r="I201" s="71" t="s">
        <v>58</v>
      </c>
      <c r="J201" s="71" t="s">
        <v>59</v>
      </c>
      <c r="K201" s="71" t="s">
        <v>189</v>
      </c>
      <c r="L201" s="71" t="s">
        <v>190</v>
      </c>
      <c r="M201" s="71" t="s">
        <v>73</v>
      </c>
      <c r="N201" s="71">
        <v>716</v>
      </c>
      <c r="O201" s="73">
        <v>6461.96</v>
      </c>
      <c r="P201" s="73">
        <f t="shared" si="0"/>
        <v>4626763.3600000003</v>
      </c>
      <c r="Q201" s="71">
        <v>14</v>
      </c>
      <c r="R201" s="71">
        <v>18</v>
      </c>
      <c r="S201" s="71">
        <f t="shared" si="2"/>
        <v>4</v>
      </c>
      <c r="T201" s="71" t="str">
        <f t="shared" si="1"/>
        <v>No</v>
      </c>
      <c r="U201" s="71">
        <v>2771</v>
      </c>
      <c r="V201" s="71">
        <v>773</v>
      </c>
      <c r="W201" s="71">
        <v>855</v>
      </c>
      <c r="X201" s="71">
        <v>15</v>
      </c>
      <c r="Y201" s="71">
        <v>20</v>
      </c>
      <c r="Z201" s="73">
        <v>4546.08</v>
      </c>
      <c r="AA201" s="73">
        <v>1491</v>
      </c>
      <c r="AB201" s="74">
        <v>0.77</v>
      </c>
    </row>
    <row r="202" spans="1:28" ht="15.75" customHeight="1" x14ac:dyDescent="0.3">
      <c r="A202" s="71" t="s">
        <v>383</v>
      </c>
      <c r="B202" s="72">
        <v>45360</v>
      </c>
      <c r="C202" s="71" t="s">
        <v>120</v>
      </c>
      <c r="D202" s="71" t="s">
        <v>121</v>
      </c>
      <c r="E202" s="71" t="s">
        <v>43</v>
      </c>
      <c r="F202" s="71" t="s">
        <v>55</v>
      </c>
      <c r="G202" s="71" t="s">
        <v>178</v>
      </c>
      <c r="H202" s="71" t="s">
        <v>179</v>
      </c>
      <c r="I202" s="71" t="s">
        <v>58</v>
      </c>
      <c r="J202" s="71" t="s">
        <v>59</v>
      </c>
      <c r="K202" s="71" t="s">
        <v>104</v>
      </c>
      <c r="L202" s="71" t="s">
        <v>105</v>
      </c>
      <c r="M202" s="71" t="s">
        <v>106</v>
      </c>
      <c r="N202" s="71">
        <v>233</v>
      </c>
      <c r="O202" s="73">
        <v>2440.02</v>
      </c>
      <c r="P202" s="73">
        <f t="shared" si="0"/>
        <v>568524.66</v>
      </c>
      <c r="Q202" s="71">
        <v>26</v>
      </c>
      <c r="R202" s="71">
        <v>32</v>
      </c>
      <c r="S202" s="71">
        <f t="shared" si="2"/>
        <v>6</v>
      </c>
      <c r="T202" s="71" t="str">
        <f t="shared" si="1"/>
        <v>No</v>
      </c>
      <c r="U202" s="71">
        <v>2574</v>
      </c>
      <c r="V202" s="71">
        <v>180</v>
      </c>
      <c r="W202" s="71">
        <v>156</v>
      </c>
      <c r="X202" s="71">
        <v>6</v>
      </c>
      <c r="Y202" s="71">
        <v>9</v>
      </c>
      <c r="Z202" s="73">
        <v>1713.63</v>
      </c>
      <c r="AA202" s="73">
        <v>5926</v>
      </c>
      <c r="AB202" s="74">
        <v>0.97</v>
      </c>
    </row>
    <row r="203" spans="1:28" ht="15.75" customHeight="1" x14ac:dyDescent="0.3">
      <c r="A203" s="75" t="s">
        <v>384</v>
      </c>
      <c r="B203" s="76">
        <v>45363</v>
      </c>
      <c r="C203" s="75" t="s">
        <v>75</v>
      </c>
      <c r="D203" s="75" t="s">
        <v>76</v>
      </c>
      <c r="E203" s="75" t="s">
        <v>77</v>
      </c>
      <c r="F203" s="75" t="s">
        <v>113</v>
      </c>
      <c r="G203" s="75" t="s">
        <v>149</v>
      </c>
      <c r="H203" s="75" t="s">
        <v>150</v>
      </c>
      <c r="I203" s="75" t="s">
        <v>58</v>
      </c>
      <c r="J203" s="75" t="s">
        <v>59</v>
      </c>
      <c r="K203" s="75" t="s">
        <v>81</v>
      </c>
      <c r="L203" s="75" t="s">
        <v>82</v>
      </c>
      <c r="M203" s="75" t="s">
        <v>83</v>
      </c>
      <c r="N203" s="75">
        <v>771</v>
      </c>
      <c r="O203" s="77">
        <v>94.81</v>
      </c>
      <c r="P203" s="77">
        <f t="shared" si="0"/>
        <v>73098.509999999995</v>
      </c>
      <c r="Q203" s="75">
        <v>19</v>
      </c>
      <c r="R203" s="75">
        <v>21</v>
      </c>
      <c r="S203" s="75">
        <f t="shared" si="2"/>
        <v>2</v>
      </c>
      <c r="T203" s="75" t="str">
        <f t="shared" si="1"/>
        <v>No</v>
      </c>
      <c r="U203" s="75">
        <v>1032</v>
      </c>
      <c r="V203" s="75">
        <v>1008</v>
      </c>
      <c r="W203" s="75">
        <v>1002</v>
      </c>
      <c r="X203" s="75">
        <v>2</v>
      </c>
      <c r="Y203" s="75">
        <v>3</v>
      </c>
      <c r="Z203" s="77">
        <v>71.63</v>
      </c>
      <c r="AA203" s="77">
        <v>4469</v>
      </c>
      <c r="AB203" s="78">
        <v>0.88</v>
      </c>
    </row>
    <row r="204" spans="1:28" ht="15.75" customHeight="1" x14ac:dyDescent="0.3">
      <c r="A204" s="71" t="s">
        <v>385</v>
      </c>
      <c r="B204" s="72">
        <v>45363</v>
      </c>
      <c r="C204" s="71" t="s">
        <v>133</v>
      </c>
      <c r="D204" s="71" t="s">
        <v>134</v>
      </c>
      <c r="E204" s="71" t="s">
        <v>100</v>
      </c>
      <c r="F204" s="71" t="s">
        <v>113</v>
      </c>
      <c r="G204" s="71" t="s">
        <v>197</v>
      </c>
      <c r="H204" s="71" t="s">
        <v>198</v>
      </c>
      <c r="I204" s="71" t="s">
        <v>58</v>
      </c>
      <c r="J204" s="71" t="s">
        <v>59</v>
      </c>
      <c r="K204" s="71" t="s">
        <v>104</v>
      </c>
      <c r="L204" s="71" t="s">
        <v>105</v>
      </c>
      <c r="M204" s="71" t="s">
        <v>106</v>
      </c>
      <c r="N204" s="71">
        <v>53</v>
      </c>
      <c r="O204" s="73">
        <v>2271.58</v>
      </c>
      <c r="P204" s="73">
        <f t="shared" si="0"/>
        <v>120393.73999999999</v>
      </c>
      <c r="Q204" s="71">
        <v>16</v>
      </c>
      <c r="R204" s="71">
        <v>23</v>
      </c>
      <c r="S204" s="71">
        <f t="shared" si="2"/>
        <v>7</v>
      </c>
      <c r="T204" s="71" t="str">
        <f t="shared" si="1"/>
        <v>No</v>
      </c>
      <c r="U204" s="71">
        <v>1801</v>
      </c>
      <c r="V204" s="71">
        <v>33</v>
      </c>
      <c r="W204" s="71">
        <v>49</v>
      </c>
      <c r="X204" s="71">
        <v>8</v>
      </c>
      <c r="Y204" s="71">
        <v>12</v>
      </c>
      <c r="Z204" s="73">
        <v>1793.59</v>
      </c>
      <c r="AA204" s="73">
        <v>1114</v>
      </c>
      <c r="AB204" s="74">
        <v>0.89</v>
      </c>
    </row>
    <row r="205" spans="1:28" ht="15.75" customHeight="1" x14ac:dyDescent="0.3">
      <c r="A205" s="79" t="s">
        <v>386</v>
      </c>
      <c r="B205" s="80">
        <v>45367</v>
      </c>
      <c r="C205" s="79" t="s">
        <v>85</v>
      </c>
      <c r="D205" s="79" t="s">
        <v>86</v>
      </c>
      <c r="E205" s="79" t="s">
        <v>87</v>
      </c>
      <c r="F205" s="79" t="s">
        <v>128</v>
      </c>
      <c r="G205" s="79" t="s">
        <v>311</v>
      </c>
      <c r="H205" s="79" t="s">
        <v>312</v>
      </c>
      <c r="I205" s="79" t="s">
        <v>58</v>
      </c>
      <c r="J205" s="79" t="s">
        <v>96</v>
      </c>
      <c r="K205" s="79" t="s">
        <v>91</v>
      </c>
      <c r="L205" s="79" t="s">
        <v>92</v>
      </c>
      <c r="M205" s="79" t="s">
        <v>51</v>
      </c>
      <c r="N205" s="79">
        <v>930</v>
      </c>
      <c r="O205" s="81">
        <v>362.65</v>
      </c>
      <c r="P205" s="81">
        <f t="shared" si="0"/>
        <v>337264.5</v>
      </c>
      <c r="Q205" s="79">
        <v>6</v>
      </c>
      <c r="R205" s="79">
        <v>9</v>
      </c>
      <c r="S205" s="79">
        <f t="shared" si="2"/>
        <v>3</v>
      </c>
      <c r="T205" s="79" t="str">
        <f t="shared" si="1"/>
        <v>No</v>
      </c>
      <c r="U205" s="79">
        <v>880</v>
      </c>
      <c r="V205" s="79">
        <v>1040</v>
      </c>
      <c r="W205" s="79">
        <v>1317</v>
      </c>
      <c r="X205" s="79">
        <v>2</v>
      </c>
      <c r="Y205" s="79">
        <v>4</v>
      </c>
      <c r="Z205" s="81">
        <v>243.24</v>
      </c>
      <c r="AA205" s="81">
        <v>5086</v>
      </c>
      <c r="AB205" s="82">
        <v>0.95</v>
      </c>
    </row>
    <row r="206" spans="1:28" ht="15.75" customHeight="1" x14ac:dyDescent="0.3">
      <c r="A206" s="71" t="s">
        <v>387</v>
      </c>
      <c r="B206" s="72">
        <v>45368</v>
      </c>
      <c r="C206" s="71" t="s">
        <v>53</v>
      </c>
      <c r="D206" s="71" t="s">
        <v>54</v>
      </c>
      <c r="E206" s="71" t="s">
        <v>43</v>
      </c>
      <c r="F206" s="71" t="s">
        <v>113</v>
      </c>
      <c r="G206" s="71" t="s">
        <v>114</v>
      </c>
      <c r="H206" s="71" t="s">
        <v>115</v>
      </c>
      <c r="I206" s="71" t="s">
        <v>58</v>
      </c>
      <c r="J206" s="71" t="s">
        <v>90</v>
      </c>
      <c r="K206" s="71" t="s">
        <v>60</v>
      </c>
      <c r="L206" s="71" t="s">
        <v>61</v>
      </c>
      <c r="M206" s="71" t="s">
        <v>62</v>
      </c>
      <c r="N206" s="71">
        <v>894</v>
      </c>
      <c r="O206" s="73">
        <v>703.47</v>
      </c>
      <c r="P206" s="73">
        <f t="shared" si="0"/>
        <v>628902.18000000005</v>
      </c>
      <c r="Q206" s="71">
        <v>26</v>
      </c>
      <c r="R206" s="71">
        <v>34</v>
      </c>
      <c r="S206" s="71">
        <f t="shared" si="2"/>
        <v>8</v>
      </c>
      <c r="T206" s="71" t="str">
        <f t="shared" si="1"/>
        <v>No</v>
      </c>
      <c r="U206" s="71">
        <v>2666</v>
      </c>
      <c r="V206" s="71">
        <v>373</v>
      </c>
      <c r="W206" s="71">
        <v>403</v>
      </c>
      <c r="X206" s="71">
        <v>3.5</v>
      </c>
      <c r="Y206" s="71">
        <v>5</v>
      </c>
      <c r="Z206" s="73">
        <v>469.82</v>
      </c>
      <c r="AA206" s="73">
        <v>7558</v>
      </c>
      <c r="AB206" s="74">
        <v>0.73</v>
      </c>
    </row>
    <row r="207" spans="1:28" ht="15.75" customHeight="1" x14ac:dyDescent="0.3">
      <c r="A207" s="71" t="s">
        <v>388</v>
      </c>
      <c r="B207" s="72">
        <v>45371</v>
      </c>
      <c r="C207" s="71" t="s">
        <v>111</v>
      </c>
      <c r="D207" s="71" t="s">
        <v>112</v>
      </c>
      <c r="E207" s="71" t="s">
        <v>87</v>
      </c>
      <c r="F207" s="71" t="s">
        <v>113</v>
      </c>
      <c r="G207" s="71" t="s">
        <v>192</v>
      </c>
      <c r="H207" s="71" t="s">
        <v>193</v>
      </c>
      <c r="I207" s="71" t="s">
        <v>137</v>
      </c>
      <c r="J207" s="71" t="s">
        <v>138</v>
      </c>
      <c r="K207" s="71" t="s">
        <v>81</v>
      </c>
      <c r="L207" s="71" t="s">
        <v>82</v>
      </c>
      <c r="M207" s="71" t="s">
        <v>83</v>
      </c>
      <c r="N207" s="71">
        <v>326</v>
      </c>
      <c r="O207" s="73">
        <v>906.54</v>
      </c>
      <c r="P207" s="73">
        <f t="shared" si="0"/>
        <v>295532.03999999998</v>
      </c>
      <c r="Q207" s="71">
        <v>26</v>
      </c>
      <c r="R207" s="71">
        <v>26</v>
      </c>
      <c r="S207" s="71">
        <f t="shared" si="2"/>
        <v>0</v>
      </c>
      <c r="T207" s="71" t="str">
        <f t="shared" si="1"/>
        <v>Yes</v>
      </c>
      <c r="U207" s="71">
        <v>509</v>
      </c>
      <c r="V207" s="71">
        <v>102</v>
      </c>
      <c r="W207" s="71">
        <v>91</v>
      </c>
      <c r="X207" s="71">
        <v>4</v>
      </c>
      <c r="Y207" s="71">
        <v>6</v>
      </c>
      <c r="Z207" s="73">
        <v>545.98</v>
      </c>
      <c r="AA207" s="73">
        <v>4566</v>
      </c>
      <c r="AB207" s="74">
        <v>0.97</v>
      </c>
    </row>
    <row r="208" spans="1:28" ht="15.75" customHeight="1" x14ac:dyDescent="0.3">
      <c r="A208" s="79" t="s">
        <v>389</v>
      </c>
      <c r="B208" s="80">
        <v>45374</v>
      </c>
      <c r="C208" s="79" t="s">
        <v>64</v>
      </c>
      <c r="D208" s="79" t="s">
        <v>65</v>
      </c>
      <c r="E208" s="79" t="s">
        <v>43</v>
      </c>
      <c r="F208" s="79" t="s">
        <v>66</v>
      </c>
      <c r="G208" s="79" t="s">
        <v>122</v>
      </c>
      <c r="H208" s="79" t="s">
        <v>123</v>
      </c>
      <c r="I208" s="79" t="s">
        <v>69</v>
      </c>
      <c r="J208" s="79" t="s">
        <v>80</v>
      </c>
      <c r="K208" s="79" t="s">
        <v>60</v>
      </c>
      <c r="L208" s="79" t="s">
        <v>61</v>
      </c>
      <c r="M208" s="79" t="s">
        <v>62</v>
      </c>
      <c r="N208" s="79">
        <v>915</v>
      </c>
      <c r="O208" s="81">
        <v>444.33</v>
      </c>
      <c r="P208" s="81">
        <f t="shared" si="0"/>
        <v>406561.95</v>
      </c>
      <c r="Q208" s="79">
        <v>5</v>
      </c>
      <c r="R208" s="79">
        <v>9</v>
      </c>
      <c r="S208" s="79">
        <f t="shared" si="2"/>
        <v>4</v>
      </c>
      <c r="T208" s="79" t="str">
        <f t="shared" si="1"/>
        <v>No</v>
      </c>
      <c r="U208" s="79">
        <v>238</v>
      </c>
      <c r="V208" s="79">
        <v>709</v>
      </c>
      <c r="W208" s="79">
        <v>752</v>
      </c>
      <c r="X208" s="79">
        <v>3</v>
      </c>
      <c r="Y208" s="79">
        <v>5</v>
      </c>
      <c r="Z208" s="81">
        <v>300.91000000000003</v>
      </c>
      <c r="AA208" s="81">
        <v>1168</v>
      </c>
      <c r="AB208" s="82">
        <v>0.8</v>
      </c>
    </row>
    <row r="209" spans="1:28" ht="15.75" customHeight="1" x14ac:dyDescent="0.3">
      <c r="A209" s="75" t="s">
        <v>390</v>
      </c>
      <c r="B209" s="76">
        <v>45375</v>
      </c>
      <c r="C209" s="75" t="s">
        <v>206</v>
      </c>
      <c r="D209" s="75" t="s">
        <v>207</v>
      </c>
      <c r="E209" s="75" t="s">
        <v>127</v>
      </c>
      <c r="F209" s="75" t="s">
        <v>128</v>
      </c>
      <c r="G209" s="75" t="s">
        <v>203</v>
      </c>
      <c r="H209" s="75" t="s">
        <v>204</v>
      </c>
      <c r="I209" s="75" t="s">
        <v>58</v>
      </c>
      <c r="J209" s="75" t="s">
        <v>90</v>
      </c>
      <c r="K209" s="75" t="s">
        <v>49</v>
      </c>
      <c r="L209" s="75" t="s">
        <v>50</v>
      </c>
      <c r="M209" s="75" t="s">
        <v>51</v>
      </c>
      <c r="N209" s="75">
        <v>633</v>
      </c>
      <c r="O209" s="77">
        <v>1044.8399999999999</v>
      </c>
      <c r="P209" s="77">
        <f t="shared" si="0"/>
        <v>661383.72</v>
      </c>
      <c r="Q209" s="75">
        <v>27</v>
      </c>
      <c r="R209" s="75">
        <v>27</v>
      </c>
      <c r="S209" s="75">
        <f t="shared" si="2"/>
        <v>0</v>
      </c>
      <c r="T209" s="75" t="str">
        <f t="shared" si="1"/>
        <v>Yes</v>
      </c>
      <c r="U209" s="75">
        <v>1292</v>
      </c>
      <c r="V209" s="75">
        <v>608</v>
      </c>
      <c r="W209" s="75">
        <v>721</v>
      </c>
      <c r="X209" s="75">
        <v>4</v>
      </c>
      <c r="Y209" s="75">
        <v>6</v>
      </c>
      <c r="Z209" s="77">
        <v>646.38</v>
      </c>
      <c r="AA209" s="77">
        <v>7392</v>
      </c>
      <c r="AB209" s="78">
        <v>0.96</v>
      </c>
    </row>
    <row r="210" spans="1:28" ht="15.75" customHeight="1" x14ac:dyDescent="0.3">
      <c r="A210" s="71" t="s">
        <v>391</v>
      </c>
      <c r="B210" s="72">
        <v>45384</v>
      </c>
      <c r="C210" s="71" t="s">
        <v>187</v>
      </c>
      <c r="D210" s="71" t="s">
        <v>188</v>
      </c>
      <c r="E210" s="71" t="s">
        <v>100</v>
      </c>
      <c r="F210" s="71" t="s">
        <v>55</v>
      </c>
      <c r="G210" s="71" t="s">
        <v>175</v>
      </c>
      <c r="H210" s="71" t="s">
        <v>176</v>
      </c>
      <c r="I210" s="71" t="s">
        <v>58</v>
      </c>
      <c r="J210" s="71" t="s">
        <v>59</v>
      </c>
      <c r="K210" s="71" t="s">
        <v>189</v>
      </c>
      <c r="L210" s="71" t="s">
        <v>190</v>
      </c>
      <c r="M210" s="71" t="s">
        <v>73</v>
      </c>
      <c r="N210" s="71">
        <v>124</v>
      </c>
      <c r="O210" s="73">
        <v>3844.85</v>
      </c>
      <c r="P210" s="73">
        <f t="shared" si="0"/>
        <v>476761.39999999997</v>
      </c>
      <c r="Q210" s="71">
        <v>22</v>
      </c>
      <c r="R210" s="71">
        <v>28</v>
      </c>
      <c r="S210" s="71">
        <f t="shared" si="2"/>
        <v>6</v>
      </c>
      <c r="T210" s="71" t="str">
        <f t="shared" si="1"/>
        <v>No</v>
      </c>
      <c r="U210" s="71">
        <v>2365</v>
      </c>
      <c r="V210" s="71">
        <v>117</v>
      </c>
      <c r="W210" s="71">
        <v>107</v>
      </c>
      <c r="X210" s="71">
        <v>12</v>
      </c>
      <c r="Y210" s="71">
        <v>18</v>
      </c>
      <c r="Z210" s="73">
        <v>2963.98</v>
      </c>
      <c r="AA210" s="73">
        <v>4119</v>
      </c>
      <c r="AB210" s="74">
        <v>0.73</v>
      </c>
    </row>
    <row r="211" spans="1:28" ht="15.75" customHeight="1" x14ac:dyDescent="0.3">
      <c r="A211" s="71" t="s">
        <v>392</v>
      </c>
      <c r="B211" s="72">
        <v>45386</v>
      </c>
      <c r="C211" s="71" t="s">
        <v>133</v>
      </c>
      <c r="D211" s="71" t="s">
        <v>134</v>
      </c>
      <c r="E211" s="71" t="s">
        <v>100</v>
      </c>
      <c r="F211" s="71" t="s">
        <v>66</v>
      </c>
      <c r="G211" s="71" t="s">
        <v>236</v>
      </c>
      <c r="H211" s="71" t="s">
        <v>237</v>
      </c>
      <c r="I211" s="71" t="s">
        <v>47</v>
      </c>
      <c r="J211" s="71" t="s">
        <v>48</v>
      </c>
      <c r="K211" s="71" t="s">
        <v>108</v>
      </c>
      <c r="L211" s="71" t="s">
        <v>109</v>
      </c>
      <c r="M211" s="71" t="s">
        <v>62</v>
      </c>
      <c r="N211" s="71">
        <v>139</v>
      </c>
      <c r="O211" s="73">
        <v>1912.4</v>
      </c>
      <c r="P211" s="73">
        <f t="shared" si="0"/>
        <v>265823.60000000003</v>
      </c>
      <c r="Q211" s="71">
        <v>7</v>
      </c>
      <c r="R211" s="71">
        <v>12</v>
      </c>
      <c r="S211" s="71">
        <f t="shared" si="2"/>
        <v>5</v>
      </c>
      <c r="T211" s="71" t="str">
        <f t="shared" si="1"/>
        <v>No</v>
      </c>
      <c r="U211" s="71">
        <v>2589</v>
      </c>
      <c r="V211" s="71">
        <v>66</v>
      </c>
      <c r="W211" s="71">
        <v>80</v>
      </c>
      <c r="X211" s="71">
        <v>8</v>
      </c>
      <c r="Y211" s="71">
        <v>12</v>
      </c>
      <c r="Z211" s="73">
        <v>1269.74</v>
      </c>
      <c r="AA211" s="73">
        <v>6456</v>
      </c>
      <c r="AB211" s="74">
        <v>0.96</v>
      </c>
    </row>
    <row r="212" spans="1:28" ht="15.75" customHeight="1" x14ac:dyDescent="0.3">
      <c r="A212" s="79" t="s">
        <v>393</v>
      </c>
      <c r="B212" s="80">
        <v>45387</v>
      </c>
      <c r="C212" s="79" t="s">
        <v>117</v>
      </c>
      <c r="D212" s="79" t="s">
        <v>118</v>
      </c>
      <c r="E212" s="79" t="s">
        <v>87</v>
      </c>
      <c r="F212" s="79" t="s">
        <v>44</v>
      </c>
      <c r="G212" s="79" t="s">
        <v>197</v>
      </c>
      <c r="H212" s="79" t="s">
        <v>198</v>
      </c>
      <c r="I212" s="79" t="s">
        <v>58</v>
      </c>
      <c r="J212" s="79" t="s">
        <v>59</v>
      </c>
      <c r="K212" s="79" t="s">
        <v>81</v>
      </c>
      <c r="L212" s="79" t="s">
        <v>82</v>
      </c>
      <c r="M212" s="79" t="s">
        <v>83</v>
      </c>
      <c r="N212" s="79">
        <v>909</v>
      </c>
      <c r="O212" s="81">
        <v>2435.98</v>
      </c>
      <c r="P212" s="81">
        <f t="shared" si="0"/>
        <v>2214305.8199999998</v>
      </c>
      <c r="Q212" s="79">
        <v>22</v>
      </c>
      <c r="R212" s="79">
        <v>27</v>
      </c>
      <c r="S212" s="79">
        <f t="shared" si="2"/>
        <v>5</v>
      </c>
      <c r="T212" s="79" t="str">
        <f t="shared" si="1"/>
        <v>No</v>
      </c>
      <c r="U212" s="79">
        <v>548</v>
      </c>
      <c r="V212" s="79">
        <v>744</v>
      </c>
      <c r="W212" s="79">
        <v>1069</v>
      </c>
      <c r="X212" s="79">
        <v>7</v>
      </c>
      <c r="Y212" s="79">
        <v>10</v>
      </c>
      <c r="Z212" s="81">
        <v>1488.58</v>
      </c>
      <c r="AA212" s="81">
        <v>1517</v>
      </c>
      <c r="AB212" s="82">
        <v>0.85</v>
      </c>
    </row>
    <row r="213" spans="1:28" ht="15.75" customHeight="1" x14ac:dyDescent="0.3">
      <c r="A213" s="71" t="s">
        <v>394</v>
      </c>
      <c r="B213" s="72">
        <v>45388</v>
      </c>
      <c r="C213" s="71" t="s">
        <v>206</v>
      </c>
      <c r="D213" s="71" t="s">
        <v>207</v>
      </c>
      <c r="E213" s="71" t="s">
        <v>127</v>
      </c>
      <c r="F213" s="71" t="s">
        <v>66</v>
      </c>
      <c r="G213" s="71" t="s">
        <v>197</v>
      </c>
      <c r="H213" s="71" t="s">
        <v>198</v>
      </c>
      <c r="I213" s="71" t="s">
        <v>58</v>
      </c>
      <c r="J213" s="71" t="s">
        <v>59</v>
      </c>
      <c r="K213" s="71" t="s">
        <v>49</v>
      </c>
      <c r="L213" s="71" t="s">
        <v>50</v>
      </c>
      <c r="M213" s="71" t="s">
        <v>51</v>
      </c>
      <c r="N213" s="71">
        <v>973</v>
      </c>
      <c r="O213" s="73">
        <v>944.16</v>
      </c>
      <c r="P213" s="73">
        <f t="shared" si="0"/>
        <v>918667.67999999993</v>
      </c>
      <c r="Q213" s="71">
        <v>10</v>
      </c>
      <c r="R213" s="71">
        <v>23</v>
      </c>
      <c r="S213" s="71">
        <f t="shared" si="2"/>
        <v>13</v>
      </c>
      <c r="T213" s="71" t="str">
        <f t="shared" si="1"/>
        <v>No</v>
      </c>
      <c r="U213" s="71">
        <v>1576</v>
      </c>
      <c r="V213" s="71">
        <v>391</v>
      </c>
      <c r="W213" s="71">
        <v>482</v>
      </c>
      <c r="X213" s="71">
        <v>4</v>
      </c>
      <c r="Y213" s="71">
        <v>6</v>
      </c>
      <c r="Z213" s="73">
        <v>717.2</v>
      </c>
      <c r="AA213" s="73">
        <v>6341</v>
      </c>
      <c r="AB213" s="74">
        <v>0.72</v>
      </c>
    </row>
    <row r="214" spans="1:28" ht="15.75" customHeight="1" x14ac:dyDescent="0.3">
      <c r="A214" s="71" t="s">
        <v>395</v>
      </c>
      <c r="B214" s="72">
        <v>45388</v>
      </c>
      <c r="C214" s="71" t="s">
        <v>120</v>
      </c>
      <c r="D214" s="71" t="s">
        <v>121</v>
      </c>
      <c r="E214" s="71" t="s">
        <v>43</v>
      </c>
      <c r="F214" s="71" t="s">
        <v>113</v>
      </c>
      <c r="G214" s="71" t="s">
        <v>88</v>
      </c>
      <c r="H214" s="71" t="s">
        <v>89</v>
      </c>
      <c r="I214" s="71" t="s">
        <v>58</v>
      </c>
      <c r="J214" s="71" t="s">
        <v>90</v>
      </c>
      <c r="K214" s="71" t="s">
        <v>108</v>
      </c>
      <c r="L214" s="71" t="s">
        <v>109</v>
      </c>
      <c r="M214" s="71" t="s">
        <v>62</v>
      </c>
      <c r="N214" s="71">
        <v>408</v>
      </c>
      <c r="O214" s="73">
        <v>2563.98</v>
      </c>
      <c r="P214" s="73">
        <f t="shared" si="0"/>
        <v>1046103.84</v>
      </c>
      <c r="Q214" s="71">
        <v>22</v>
      </c>
      <c r="R214" s="71">
        <v>31</v>
      </c>
      <c r="S214" s="71">
        <f t="shared" si="2"/>
        <v>9</v>
      </c>
      <c r="T214" s="71" t="str">
        <f t="shared" si="1"/>
        <v>No</v>
      </c>
      <c r="U214" s="71">
        <v>2970</v>
      </c>
      <c r="V214" s="71">
        <v>425</v>
      </c>
      <c r="W214" s="71">
        <v>564</v>
      </c>
      <c r="X214" s="71">
        <v>6</v>
      </c>
      <c r="Y214" s="71">
        <v>9</v>
      </c>
      <c r="Z214" s="73">
        <v>1838.68</v>
      </c>
      <c r="AA214" s="73">
        <v>6241</v>
      </c>
      <c r="AB214" s="74">
        <v>0.94</v>
      </c>
    </row>
    <row r="215" spans="1:28" ht="15.75" customHeight="1" x14ac:dyDescent="0.3">
      <c r="A215" s="71" t="s">
        <v>396</v>
      </c>
      <c r="B215" s="72">
        <v>45389</v>
      </c>
      <c r="C215" s="71" t="s">
        <v>221</v>
      </c>
      <c r="D215" s="71" t="s">
        <v>222</v>
      </c>
      <c r="E215" s="71" t="s">
        <v>77</v>
      </c>
      <c r="F215" s="71" t="s">
        <v>66</v>
      </c>
      <c r="G215" s="71" t="s">
        <v>56</v>
      </c>
      <c r="H215" s="71" t="s">
        <v>57</v>
      </c>
      <c r="I215" s="71" t="s">
        <v>58</v>
      </c>
      <c r="J215" s="71" t="s">
        <v>59</v>
      </c>
      <c r="K215" s="71" t="s">
        <v>81</v>
      </c>
      <c r="L215" s="71" t="s">
        <v>82</v>
      </c>
      <c r="M215" s="71" t="s">
        <v>83</v>
      </c>
      <c r="N215" s="71">
        <v>600</v>
      </c>
      <c r="O215" s="73">
        <v>30.55</v>
      </c>
      <c r="P215" s="73">
        <f t="shared" si="0"/>
        <v>18330</v>
      </c>
      <c r="Q215" s="71">
        <v>20</v>
      </c>
      <c r="R215" s="71">
        <v>21</v>
      </c>
      <c r="S215" s="71">
        <f t="shared" si="2"/>
        <v>1</v>
      </c>
      <c r="T215" s="71" t="str">
        <f t="shared" si="1"/>
        <v>No</v>
      </c>
      <c r="U215" s="71">
        <v>2536</v>
      </c>
      <c r="V215" s="71">
        <v>492</v>
      </c>
      <c r="W215" s="71">
        <v>541</v>
      </c>
      <c r="X215" s="71">
        <v>1.2</v>
      </c>
      <c r="Y215" s="71">
        <v>2</v>
      </c>
      <c r="Z215" s="73">
        <v>20.95</v>
      </c>
      <c r="AA215" s="73">
        <v>4410</v>
      </c>
      <c r="AB215" s="74">
        <v>0.81</v>
      </c>
    </row>
    <row r="216" spans="1:28" ht="15.75" customHeight="1" x14ac:dyDescent="0.3">
      <c r="A216" s="71" t="s">
        <v>397</v>
      </c>
      <c r="B216" s="72">
        <v>45390</v>
      </c>
      <c r="C216" s="71" t="s">
        <v>111</v>
      </c>
      <c r="D216" s="71" t="s">
        <v>112</v>
      </c>
      <c r="E216" s="71" t="s">
        <v>87</v>
      </c>
      <c r="F216" s="71" t="s">
        <v>44</v>
      </c>
      <c r="G216" s="71" t="s">
        <v>251</v>
      </c>
      <c r="H216" s="71" t="s">
        <v>252</v>
      </c>
      <c r="I216" s="71" t="s">
        <v>137</v>
      </c>
      <c r="J216" s="71" t="s">
        <v>138</v>
      </c>
      <c r="K216" s="71" t="s">
        <v>81</v>
      </c>
      <c r="L216" s="71" t="s">
        <v>82</v>
      </c>
      <c r="M216" s="71" t="s">
        <v>83</v>
      </c>
      <c r="N216" s="71">
        <v>770</v>
      </c>
      <c r="O216" s="73">
        <v>902.51</v>
      </c>
      <c r="P216" s="73">
        <f t="shared" si="0"/>
        <v>694932.7</v>
      </c>
      <c r="Q216" s="71">
        <v>17</v>
      </c>
      <c r="R216" s="71">
        <v>25</v>
      </c>
      <c r="S216" s="71">
        <f t="shared" si="2"/>
        <v>8</v>
      </c>
      <c r="T216" s="71" t="str">
        <f t="shared" si="1"/>
        <v>No</v>
      </c>
      <c r="U216" s="71">
        <v>2871</v>
      </c>
      <c r="V216" s="71">
        <v>496</v>
      </c>
      <c r="W216" s="71">
        <v>627</v>
      </c>
      <c r="X216" s="71">
        <v>4</v>
      </c>
      <c r="Y216" s="71">
        <v>6</v>
      </c>
      <c r="Z216" s="73">
        <v>708.74</v>
      </c>
      <c r="AA216" s="73">
        <v>3674</v>
      </c>
      <c r="AB216" s="74">
        <v>0.82</v>
      </c>
    </row>
    <row r="217" spans="1:28" ht="15.75" customHeight="1" x14ac:dyDescent="0.3">
      <c r="A217" s="75" t="s">
        <v>398</v>
      </c>
      <c r="B217" s="76">
        <v>45392</v>
      </c>
      <c r="C217" s="75" t="s">
        <v>181</v>
      </c>
      <c r="D217" s="75" t="s">
        <v>182</v>
      </c>
      <c r="E217" s="75" t="s">
        <v>127</v>
      </c>
      <c r="F217" s="75" t="s">
        <v>113</v>
      </c>
      <c r="G217" s="75" t="s">
        <v>135</v>
      </c>
      <c r="H217" s="75" t="s">
        <v>136</v>
      </c>
      <c r="I217" s="75" t="s">
        <v>137</v>
      </c>
      <c r="J217" s="75" t="s">
        <v>138</v>
      </c>
      <c r="K217" s="75" t="s">
        <v>49</v>
      </c>
      <c r="L217" s="75" t="s">
        <v>50</v>
      </c>
      <c r="M217" s="75" t="s">
        <v>51</v>
      </c>
      <c r="N217" s="75">
        <v>812</v>
      </c>
      <c r="O217" s="77">
        <v>1922.04</v>
      </c>
      <c r="P217" s="77">
        <f t="shared" si="0"/>
        <v>1560696.48</v>
      </c>
      <c r="Q217" s="75">
        <v>27</v>
      </c>
      <c r="R217" s="75">
        <v>31</v>
      </c>
      <c r="S217" s="75">
        <f t="shared" si="2"/>
        <v>4</v>
      </c>
      <c r="T217" s="75" t="str">
        <f t="shared" si="1"/>
        <v>No</v>
      </c>
      <c r="U217" s="75">
        <v>797</v>
      </c>
      <c r="V217" s="75">
        <v>532</v>
      </c>
      <c r="W217" s="75">
        <v>786</v>
      </c>
      <c r="X217" s="75">
        <v>7</v>
      </c>
      <c r="Y217" s="75">
        <v>10</v>
      </c>
      <c r="Z217" s="77">
        <v>1375.87</v>
      </c>
      <c r="AA217" s="77">
        <v>4941</v>
      </c>
      <c r="AB217" s="78">
        <v>0.72</v>
      </c>
    </row>
    <row r="218" spans="1:28" ht="15.75" customHeight="1" x14ac:dyDescent="0.3">
      <c r="A218" s="71" t="s">
        <v>399</v>
      </c>
      <c r="B218" s="72">
        <v>45397</v>
      </c>
      <c r="C218" s="71" t="s">
        <v>75</v>
      </c>
      <c r="D218" s="71" t="s">
        <v>76</v>
      </c>
      <c r="E218" s="71" t="s">
        <v>77</v>
      </c>
      <c r="F218" s="71" t="s">
        <v>128</v>
      </c>
      <c r="G218" s="71" t="s">
        <v>78</v>
      </c>
      <c r="H218" s="71" t="s">
        <v>79</v>
      </c>
      <c r="I218" s="71" t="s">
        <v>69</v>
      </c>
      <c r="J218" s="71" t="s">
        <v>80</v>
      </c>
      <c r="K218" s="71" t="s">
        <v>60</v>
      </c>
      <c r="L218" s="71" t="s">
        <v>61</v>
      </c>
      <c r="M218" s="71" t="s">
        <v>62</v>
      </c>
      <c r="N218" s="71">
        <v>90</v>
      </c>
      <c r="O218" s="73">
        <v>88.23</v>
      </c>
      <c r="P218" s="73">
        <f t="shared" si="0"/>
        <v>7940.7000000000007</v>
      </c>
      <c r="Q218" s="71">
        <v>25</v>
      </c>
      <c r="R218" s="71">
        <v>33</v>
      </c>
      <c r="S218" s="71">
        <f t="shared" si="2"/>
        <v>8</v>
      </c>
      <c r="T218" s="71" t="str">
        <f t="shared" si="1"/>
        <v>No</v>
      </c>
      <c r="U218" s="71">
        <v>2384</v>
      </c>
      <c r="V218" s="71">
        <v>47</v>
      </c>
      <c r="W218" s="71">
        <v>39</v>
      </c>
      <c r="X218" s="71">
        <v>2</v>
      </c>
      <c r="Y218" s="71">
        <v>3</v>
      </c>
      <c r="Z218" s="73">
        <v>64.61</v>
      </c>
      <c r="AA218" s="73">
        <v>6832</v>
      </c>
      <c r="AB218" s="74">
        <v>0.78</v>
      </c>
    </row>
    <row r="219" spans="1:28" ht="15.75" customHeight="1" x14ac:dyDescent="0.3">
      <c r="A219" s="71" t="s">
        <v>400</v>
      </c>
      <c r="B219" s="72">
        <v>45399</v>
      </c>
      <c r="C219" s="71" t="s">
        <v>117</v>
      </c>
      <c r="D219" s="71" t="s">
        <v>118</v>
      </c>
      <c r="E219" s="71" t="s">
        <v>87</v>
      </c>
      <c r="F219" s="71" t="s">
        <v>128</v>
      </c>
      <c r="G219" s="71" t="s">
        <v>229</v>
      </c>
      <c r="H219" s="71" t="s">
        <v>230</v>
      </c>
      <c r="I219" s="71" t="s">
        <v>69</v>
      </c>
      <c r="J219" s="71" t="s">
        <v>70</v>
      </c>
      <c r="K219" s="71" t="s">
        <v>91</v>
      </c>
      <c r="L219" s="71" t="s">
        <v>92</v>
      </c>
      <c r="M219" s="71" t="s">
        <v>51</v>
      </c>
      <c r="N219" s="71">
        <v>861</v>
      </c>
      <c r="O219" s="73">
        <v>2137.89</v>
      </c>
      <c r="P219" s="73">
        <f t="shared" si="0"/>
        <v>1840723.2899999998</v>
      </c>
      <c r="Q219" s="71">
        <v>25</v>
      </c>
      <c r="R219" s="71">
        <v>33</v>
      </c>
      <c r="S219" s="71">
        <f t="shared" si="2"/>
        <v>8</v>
      </c>
      <c r="T219" s="71" t="str">
        <f t="shared" si="1"/>
        <v>No</v>
      </c>
      <c r="U219" s="71">
        <v>2453</v>
      </c>
      <c r="V219" s="71">
        <v>782</v>
      </c>
      <c r="W219" s="71">
        <v>878</v>
      </c>
      <c r="X219" s="71">
        <v>7</v>
      </c>
      <c r="Y219" s="71">
        <v>10</v>
      </c>
      <c r="Z219" s="73">
        <v>1519.75</v>
      </c>
      <c r="AA219" s="73">
        <v>6986</v>
      </c>
      <c r="AB219" s="74">
        <v>0.91</v>
      </c>
    </row>
    <row r="220" spans="1:28" ht="15.75" customHeight="1" x14ac:dyDescent="0.3">
      <c r="A220" s="71" t="s">
        <v>401</v>
      </c>
      <c r="B220" s="72">
        <v>45399</v>
      </c>
      <c r="C220" s="71" t="s">
        <v>111</v>
      </c>
      <c r="D220" s="71" t="s">
        <v>112</v>
      </c>
      <c r="E220" s="71" t="s">
        <v>87</v>
      </c>
      <c r="F220" s="71" t="s">
        <v>66</v>
      </c>
      <c r="G220" s="71" t="s">
        <v>217</v>
      </c>
      <c r="H220" s="71" t="s">
        <v>218</v>
      </c>
      <c r="I220" s="71" t="s">
        <v>137</v>
      </c>
      <c r="J220" s="71" t="s">
        <v>138</v>
      </c>
      <c r="K220" s="71" t="s">
        <v>91</v>
      </c>
      <c r="L220" s="71" t="s">
        <v>92</v>
      </c>
      <c r="M220" s="71" t="s">
        <v>51</v>
      </c>
      <c r="N220" s="71">
        <v>531</v>
      </c>
      <c r="O220" s="73">
        <v>914.9</v>
      </c>
      <c r="P220" s="73">
        <f t="shared" si="0"/>
        <v>485811.89999999997</v>
      </c>
      <c r="Q220" s="71">
        <v>18</v>
      </c>
      <c r="R220" s="71">
        <v>27</v>
      </c>
      <c r="S220" s="71">
        <f t="shared" si="2"/>
        <v>9</v>
      </c>
      <c r="T220" s="71" t="str">
        <f t="shared" si="1"/>
        <v>No</v>
      </c>
      <c r="U220" s="71">
        <v>1018</v>
      </c>
      <c r="V220" s="71">
        <v>450</v>
      </c>
      <c r="W220" s="71">
        <v>405</v>
      </c>
      <c r="X220" s="71">
        <v>4</v>
      </c>
      <c r="Y220" s="71">
        <v>6</v>
      </c>
      <c r="Z220" s="73">
        <v>583.82000000000005</v>
      </c>
      <c r="AA220" s="73">
        <v>5410</v>
      </c>
      <c r="AB220" s="74">
        <v>0.84</v>
      </c>
    </row>
    <row r="221" spans="1:28" ht="15.75" customHeight="1" x14ac:dyDescent="0.3">
      <c r="A221" s="75" t="s">
        <v>402</v>
      </c>
      <c r="B221" s="76">
        <v>45401</v>
      </c>
      <c r="C221" s="75" t="s">
        <v>75</v>
      </c>
      <c r="D221" s="75" t="s">
        <v>76</v>
      </c>
      <c r="E221" s="75" t="s">
        <v>77</v>
      </c>
      <c r="F221" s="75" t="s">
        <v>113</v>
      </c>
      <c r="G221" s="75" t="s">
        <v>101</v>
      </c>
      <c r="H221" s="75" t="s">
        <v>102</v>
      </c>
      <c r="I221" s="75" t="s">
        <v>69</v>
      </c>
      <c r="J221" s="75" t="s">
        <v>103</v>
      </c>
      <c r="K221" s="75" t="s">
        <v>60</v>
      </c>
      <c r="L221" s="75" t="s">
        <v>61</v>
      </c>
      <c r="M221" s="75" t="s">
        <v>62</v>
      </c>
      <c r="N221" s="75">
        <v>853</v>
      </c>
      <c r="O221" s="77">
        <v>81.38</v>
      </c>
      <c r="P221" s="77">
        <f t="shared" si="0"/>
        <v>69417.14</v>
      </c>
      <c r="Q221" s="75">
        <v>19</v>
      </c>
      <c r="R221" s="75">
        <v>22</v>
      </c>
      <c r="S221" s="75">
        <f t="shared" si="2"/>
        <v>3</v>
      </c>
      <c r="T221" s="75" t="str">
        <f t="shared" si="1"/>
        <v>No</v>
      </c>
      <c r="U221" s="75">
        <v>1149</v>
      </c>
      <c r="V221" s="75">
        <v>448</v>
      </c>
      <c r="W221" s="75">
        <v>632</v>
      </c>
      <c r="X221" s="75">
        <v>2</v>
      </c>
      <c r="Y221" s="75">
        <v>3</v>
      </c>
      <c r="Z221" s="77">
        <v>61.29</v>
      </c>
      <c r="AA221" s="77">
        <v>763</v>
      </c>
      <c r="AB221" s="78">
        <v>0.93</v>
      </c>
    </row>
    <row r="222" spans="1:28" ht="15.75" customHeight="1" x14ac:dyDescent="0.3">
      <c r="A222" s="71" t="s">
        <v>403</v>
      </c>
      <c r="B222" s="72">
        <v>45407</v>
      </c>
      <c r="C222" s="71" t="s">
        <v>117</v>
      </c>
      <c r="D222" s="71" t="s">
        <v>118</v>
      </c>
      <c r="E222" s="71" t="s">
        <v>87</v>
      </c>
      <c r="F222" s="71" t="s">
        <v>44</v>
      </c>
      <c r="G222" s="71" t="s">
        <v>203</v>
      </c>
      <c r="H222" s="71" t="s">
        <v>204</v>
      </c>
      <c r="I222" s="71" t="s">
        <v>58</v>
      </c>
      <c r="J222" s="71" t="s">
        <v>90</v>
      </c>
      <c r="K222" s="71" t="s">
        <v>81</v>
      </c>
      <c r="L222" s="71" t="s">
        <v>82</v>
      </c>
      <c r="M222" s="71" t="s">
        <v>83</v>
      </c>
      <c r="N222" s="71">
        <v>29</v>
      </c>
      <c r="O222" s="73">
        <v>2120.7600000000002</v>
      </c>
      <c r="P222" s="73">
        <f t="shared" si="0"/>
        <v>61502.040000000008</v>
      </c>
      <c r="Q222" s="71">
        <v>9</v>
      </c>
      <c r="R222" s="71">
        <v>21</v>
      </c>
      <c r="S222" s="71">
        <f t="shared" si="2"/>
        <v>12</v>
      </c>
      <c r="T222" s="71" t="str">
        <f t="shared" si="1"/>
        <v>No</v>
      </c>
      <c r="U222" s="71">
        <v>2181</v>
      </c>
      <c r="V222" s="71">
        <v>23</v>
      </c>
      <c r="W222" s="71">
        <v>30</v>
      </c>
      <c r="X222" s="71">
        <v>7</v>
      </c>
      <c r="Y222" s="71">
        <v>10</v>
      </c>
      <c r="Z222" s="73">
        <v>1373.25</v>
      </c>
      <c r="AA222" s="73">
        <v>1498</v>
      </c>
      <c r="AB222" s="74">
        <v>0.71</v>
      </c>
    </row>
    <row r="223" spans="1:28" ht="15.75" customHeight="1" x14ac:dyDescent="0.3">
      <c r="A223" s="75" t="s">
        <v>404</v>
      </c>
      <c r="B223" s="76">
        <v>45410</v>
      </c>
      <c r="C223" s="75" t="s">
        <v>234</v>
      </c>
      <c r="D223" s="75" t="s">
        <v>235</v>
      </c>
      <c r="E223" s="75" t="s">
        <v>43</v>
      </c>
      <c r="F223" s="75" t="s">
        <v>55</v>
      </c>
      <c r="G223" s="75" t="s">
        <v>114</v>
      </c>
      <c r="H223" s="75" t="s">
        <v>115</v>
      </c>
      <c r="I223" s="75" t="s">
        <v>58</v>
      </c>
      <c r="J223" s="75" t="s">
        <v>90</v>
      </c>
      <c r="K223" s="75" t="s">
        <v>71</v>
      </c>
      <c r="L223" s="75" t="s">
        <v>72</v>
      </c>
      <c r="M223" s="75" t="s">
        <v>73</v>
      </c>
      <c r="N223" s="75">
        <v>797</v>
      </c>
      <c r="O223" s="77">
        <v>1120.6300000000001</v>
      </c>
      <c r="P223" s="77">
        <f t="shared" si="0"/>
        <v>893142.1100000001</v>
      </c>
      <c r="Q223" s="75">
        <v>25</v>
      </c>
      <c r="R223" s="75">
        <v>32</v>
      </c>
      <c r="S223" s="75">
        <f t="shared" si="2"/>
        <v>7</v>
      </c>
      <c r="T223" s="75" t="str">
        <f t="shared" si="1"/>
        <v>No</v>
      </c>
      <c r="U223" s="75">
        <v>1586</v>
      </c>
      <c r="V223" s="75">
        <v>668</v>
      </c>
      <c r="W223" s="75">
        <v>963</v>
      </c>
      <c r="X223" s="75">
        <v>5</v>
      </c>
      <c r="Y223" s="75">
        <v>8</v>
      </c>
      <c r="Z223" s="77">
        <v>756.98</v>
      </c>
      <c r="AA223" s="77">
        <v>1157</v>
      </c>
      <c r="AB223" s="78">
        <v>0.89</v>
      </c>
    </row>
    <row r="224" spans="1:28" ht="15.75" customHeight="1" x14ac:dyDescent="0.3">
      <c r="A224" s="71" t="s">
        <v>405</v>
      </c>
      <c r="B224" s="72">
        <v>45413</v>
      </c>
      <c r="C224" s="71" t="s">
        <v>41</v>
      </c>
      <c r="D224" s="71" t="s">
        <v>42</v>
      </c>
      <c r="E224" s="71" t="s">
        <v>43</v>
      </c>
      <c r="F224" s="71" t="s">
        <v>66</v>
      </c>
      <c r="G224" s="71" t="s">
        <v>217</v>
      </c>
      <c r="H224" s="71" t="s">
        <v>218</v>
      </c>
      <c r="I224" s="71" t="s">
        <v>137</v>
      </c>
      <c r="J224" s="71" t="s">
        <v>138</v>
      </c>
      <c r="K224" s="71" t="s">
        <v>104</v>
      </c>
      <c r="L224" s="71" t="s">
        <v>105</v>
      </c>
      <c r="M224" s="71" t="s">
        <v>106</v>
      </c>
      <c r="N224" s="71">
        <v>90</v>
      </c>
      <c r="O224" s="73">
        <v>12483.76</v>
      </c>
      <c r="P224" s="73">
        <f t="shared" si="0"/>
        <v>1123538.3999999999</v>
      </c>
      <c r="Q224" s="71">
        <v>27</v>
      </c>
      <c r="R224" s="71">
        <v>34</v>
      </c>
      <c r="S224" s="71">
        <f t="shared" si="2"/>
        <v>7</v>
      </c>
      <c r="T224" s="71" t="str">
        <f t="shared" si="1"/>
        <v>No</v>
      </c>
      <c r="U224" s="71">
        <v>2359</v>
      </c>
      <c r="V224" s="71">
        <v>124</v>
      </c>
      <c r="W224" s="71">
        <v>168</v>
      </c>
      <c r="X224" s="71">
        <v>25</v>
      </c>
      <c r="Y224" s="71">
        <v>35</v>
      </c>
      <c r="Z224" s="73">
        <v>9181.9</v>
      </c>
      <c r="AA224" s="73">
        <v>5581</v>
      </c>
      <c r="AB224" s="74">
        <v>0.74</v>
      </c>
    </row>
    <row r="225" spans="1:28" ht="15.75" customHeight="1" x14ac:dyDescent="0.3">
      <c r="A225" s="71" t="s">
        <v>406</v>
      </c>
      <c r="B225" s="72">
        <v>45414</v>
      </c>
      <c r="C225" s="71" t="s">
        <v>206</v>
      </c>
      <c r="D225" s="71" t="s">
        <v>207</v>
      </c>
      <c r="E225" s="71" t="s">
        <v>127</v>
      </c>
      <c r="F225" s="71" t="s">
        <v>66</v>
      </c>
      <c r="G225" s="71" t="s">
        <v>56</v>
      </c>
      <c r="H225" s="71" t="s">
        <v>57</v>
      </c>
      <c r="I225" s="71" t="s">
        <v>58</v>
      </c>
      <c r="J225" s="71" t="s">
        <v>59</v>
      </c>
      <c r="K225" s="71" t="s">
        <v>91</v>
      </c>
      <c r="L225" s="71" t="s">
        <v>92</v>
      </c>
      <c r="M225" s="71" t="s">
        <v>51</v>
      </c>
      <c r="N225" s="71">
        <v>338</v>
      </c>
      <c r="O225" s="73">
        <v>922.79</v>
      </c>
      <c r="P225" s="73">
        <f t="shared" si="0"/>
        <v>311903.01999999996</v>
      </c>
      <c r="Q225" s="71">
        <v>6</v>
      </c>
      <c r="R225" s="71">
        <v>15</v>
      </c>
      <c r="S225" s="71">
        <f t="shared" si="2"/>
        <v>9</v>
      </c>
      <c r="T225" s="71" t="str">
        <f t="shared" si="1"/>
        <v>No</v>
      </c>
      <c r="U225" s="71">
        <v>2371</v>
      </c>
      <c r="V225" s="71">
        <v>195</v>
      </c>
      <c r="W225" s="71">
        <v>256</v>
      </c>
      <c r="X225" s="71">
        <v>4</v>
      </c>
      <c r="Y225" s="71">
        <v>6</v>
      </c>
      <c r="Z225" s="73">
        <v>710.61</v>
      </c>
      <c r="AA225" s="73">
        <v>805</v>
      </c>
      <c r="AB225" s="74">
        <v>0.96</v>
      </c>
    </row>
    <row r="226" spans="1:28" ht="15.75" customHeight="1" x14ac:dyDescent="0.3">
      <c r="A226" s="75" t="s">
        <v>407</v>
      </c>
      <c r="B226" s="76">
        <v>45416</v>
      </c>
      <c r="C226" s="75" t="s">
        <v>85</v>
      </c>
      <c r="D226" s="75" t="s">
        <v>86</v>
      </c>
      <c r="E226" s="75" t="s">
        <v>87</v>
      </c>
      <c r="F226" s="75" t="s">
        <v>113</v>
      </c>
      <c r="G226" s="75" t="s">
        <v>145</v>
      </c>
      <c r="H226" s="75" t="s">
        <v>146</v>
      </c>
      <c r="I226" s="75" t="s">
        <v>69</v>
      </c>
      <c r="J226" s="75" t="s">
        <v>70</v>
      </c>
      <c r="K226" s="75" t="s">
        <v>91</v>
      </c>
      <c r="L226" s="75" t="s">
        <v>92</v>
      </c>
      <c r="M226" s="75" t="s">
        <v>51</v>
      </c>
      <c r="N226" s="75">
        <v>435</v>
      </c>
      <c r="O226" s="77">
        <v>344.16</v>
      </c>
      <c r="P226" s="77">
        <f t="shared" si="0"/>
        <v>149709.6</v>
      </c>
      <c r="Q226" s="75">
        <v>20</v>
      </c>
      <c r="R226" s="75">
        <v>33</v>
      </c>
      <c r="S226" s="75">
        <f t="shared" si="2"/>
        <v>13</v>
      </c>
      <c r="T226" s="75" t="str">
        <f t="shared" si="1"/>
        <v>No</v>
      </c>
      <c r="U226" s="75">
        <v>914</v>
      </c>
      <c r="V226" s="75">
        <v>528</v>
      </c>
      <c r="W226" s="75">
        <v>673</v>
      </c>
      <c r="X226" s="75">
        <v>2</v>
      </c>
      <c r="Y226" s="75">
        <v>4</v>
      </c>
      <c r="Z226" s="77">
        <v>247.5</v>
      </c>
      <c r="AA226" s="77">
        <v>6950</v>
      </c>
      <c r="AB226" s="78">
        <v>0.72</v>
      </c>
    </row>
    <row r="227" spans="1:28" ht="15.75" customHeight="1" x14ac:dyDescent="0.3">
      <c r="A227" s="71" t="s">
        <v>408</v>
      </c>
      <c r="B227" s="72">
        <v>45417</v>
      </c>
      <c r="C227" s="71" t="s">
        <v>117</v>
      </c>
      <c r="D227" s="71" t="s">
        <v>118</v>
      </c>
      <c r="E227" s="71" t="s">
        <v>87</v>
      </c>
      <c r="F227" s="71" t="s">
        <v>55</v>
      </c>
      <c r="G227" s="71" t="s">
        <v>130</v>
      </c>
      <c r="H227" s="71" t="s">
        <v>131</v>
      </c>
      <c r="I227" s="71" t="s">
        <v>69</v>
      </c>
      <c r="J227" s="71" t="s">
        <v>70</v>
      </c>
      <c r="K227" s="71" t="s">
        <v>81</v>
      </c>
      <c r="L227" s="71" t="s">
        <v>82</v>
      </c>
      <c r="M227" s="71" t="s">
        <v>83</v>
      </c>
      <c r="N227" s="71">
        <v>268</v>
      </c>
      <c r="O227" s="73">
        <v>2497.58</v>
      </c>
      <c r="P227" s="73">
        <f t="shared" si="0"/>
        <v>669351.43999999994</v>
      </c>
      <c r="Q227" s="71">
        <v>20</v>
      </c>
      <c r="R227" s="71">
        <v>20</v>
      </c>
      <c r="S227" s="71">
        <f t="shared" si="2"/>
        <v>0</v>
      </c>
      <c r="T227" s="71" t="str">
        <f t="shared" si="1"/>
        <v>Yes</v>
      </c>
      <c r="U227" s="71">
        <v>1661</v>
      </c>
      <c r="V227" s="71">
        <v>238</v>
      </c>
      <c r="W227" s="71">
        <v>286</v>
      </c>
      <c r="X227" s="71">
        <v>7</v>
      </c>
      <c r="Y227" s="71">
        <v>10</v>
      </c>
      <c r="Z227" s="73">
        <v>1841.44</v>
      </c>
      <c r="AA227" s="73">
        <v>1742</v>
      </c>
      <c r="AB227" s="74">
        <v>0.74</v>
      </c>
    </row>
    <row r="228" spans="1:28" ht="15.75" customHeight="1" x14ac:dyDescent="0.3">
      <c r="A228" s="71" t="s">
        <v>409</v>
      </c>
      <c r="B228" s="72">
        <v>45423</v>
      </c>
      <c r="C228" s="71" t="s">
        <v>187</v>
      </c>
      <c r="D228" s="71" t="s">
        <v>188</v>
      </c>
      <c r="E228" s="71" t="s">
        <v>100</v>
      </c>
      <c r="F228" s="71" t="s">
        <v>55</v>
      </c>
      <c r="G228" s="71" t="s">
        <v>122</v>
      </c>
      <c r="H228" s="71" t="s">
        <v>123</v>
      </c>
      <c r="I228" s="71" t="s">
        <v>69</v>
      </c>
      <c r="J228" s="71" t="s">
        <v>80</v>
      </c>
      <c r="K228" s="71" t="s">
        <v>108</v>
      </c>
      <c r="L228" s="71" t="s">
        <v>109</v>
      </c>
      <c r="M228" s="71" t="s">
        <v>62</v>
      </c>
      <c r="N228" s="71">
        <v>537</v>
      </c>
      <c r="O228" s="73">
        <v>4611.0600000000004</v>
      </c>
      <c r="P228" s="73">
        <f t="shared" si="0"/>
        <v>2476139.2200000002</v>
      </c>
      <c r="Q228" s="71">
        <v>7</v>
      </c>
      <c r="R228" s="71">
        <v>16</v>
      </c>
      <c r="S228" s="71">
        <f t="shared" si="2"/>
        <v>9</v>
      </c>
      <c r="T228" s="71" t="str">
        <f t="shared" si="1"/>
        <v>No</v>
      </c>
      <c r="U228" s="71">
        <v>1672</v>
      </c>
      <c r="V228" s="71">
        <v>248</v>
      </c>
      <c r="W228" s="71">
        <v>346</v>
      </c>
      <c r="X228" s="71">
        <v>12</v>
      </c>
      <c r="Y228" s="71">
        <v>18</v>
      </c>
      <c r="Z228" s="73">
        <v>3577.57</v>
      </c>
      <c r="AA228" s="73">
        <v>737</v>
      </c>
      <c r="AB228" s="74">
        <v>0.75</v>
      </c>
    </row>
    <row r="229" spans="1:28" ht="15.75" customHeight="1" x14ac:dyDescent="0.3">
      <c r="A229" s="71" t="s">
        <v>410</v>
      </c>
      <c r="B229" s="72">
        <v>45426</v>
      </c>
      <c r="C229" s="71" t="s">
        <v>111</v>
      </c>
      <c r="D229" s="71" t="s">
        <v>112</v>
      </c>
      <c r="E229" s="71" t="s">
        <v>87</v>
      </c>
      <c r="F229" s="71" t="s">
        <v>113</v>
      </c>
      <c r="G229" s="71" t="s">
        <v>178</v>
      </c>
      <c r="H229" s="71" t="s">
        <v>179</v>
      </c>
      <c r="I229" s="71" t="s">
        <v>58</v>
      </c>
      <c r="J229" s="71" t="s">
        <v>59</v>
      </c>
      <c r="K229" s="71" t="s">
        <v>81</v>
      </c>
      <c r="L229" s="71" t="s">
        <v>82</v>
      </c>
      <c r="M229" s="71" t="s">
        <v>83</v>
      </c>
      <c r="N229" s="71">
        <v>74</v>
      </c>
      <c r="O229" s="73">
        <v>820.59</v>
      </c>
      <c r="P229" s="73">
        <f t="shared" si="0"/>
        <v>60723.66</v>
      </c>
      <c r="Q229" s="71">
        <v>15</v>
      </c>
      <c r="R229" s="71">
        <v>24</v>
      </c>
      <c r="S229" s="71">
        <f t="shared" si="2"/>
        <v>9</v>
      </c>
      <c r="T229" s="71" t="str">
        <f t="shared" si="1"/>
        <v>No</v>
      </c>
      <c r="U229" s="71">
        <v>2169</v>
      </c>
      <c r="V229" s="71">
        <v>90</v>
      </c>
      <c r="W229" s="71">
        <v>108</v>
      </c>
      <c r="X229" s="71">
        <v>4</v>
      </c>
      <c r="Y229" s="71">
        <v>6</v>
      </c>
      <c r="Z229" s="73">
        <v>585.08000000000004</v>
      </c>
      <c r="AA229" s="73">
        <v>5987</v>
      </c>
      <c r="AB229" s="74">
        <v>0.94</v>
      </c>
    </row>
    <row r="230" spans="1:28" ht="15.75" customHeight="1" x14ac:dyDescent="0.3">
      <c r="A230" s="71" t="s">
        <v>411</v>
      </c>
      <c r="B230" s="72">
        <v>45426</v>
      </c>
      <c r="C230" s="71" t="s">
        <v>125</v>
      </c>
      <c r="D230" s="71" t="s">
        <v>126</v>
      </c>
      <c r="E230" s="71" t="s">
        <v>127</v>
      </c>
      <c r="F230" s="71" t="s">
        <v>44</v>
      </c>
      <c r="G230" s="71" t="s">
        <v>203</v>
      </c>
      <c r="H230" s="71" t="s">
        <v>204</v>
      </c>
      <c r="I230" s="71" t="s">
        <v>58</v>
      </c>
      <c r="J230" s="71" t="s">
        <v>90</v>
      </c>
      <c r="K230" s="71" t="s">
        <v>49</v>
      </c>
      <c r="L230" s="71" t="s">
        <v>50</v>
      </c>
      <c r="M230" s="71" t="s">
        <v>51</v>
      </c>
      <c r="N230" s="71">
        <v>105</v>
      </c>
      <c r="O230" s="73">
        <v>3464.75</v>
      </c>
      <c r="P230" s="73">
        <f t="shared" si="0"/>
        <v>363798.75</v>
      </c>
      <c r="Q230" s="71">
        <v>19</v>
      </c>
      <c r="R230" s="71">
        <v>21</v>
      </c>
      <c r="S230" s="71">
        <f t="shared" si="2"/>
        <v>2</v>
      </c>
      <c r="T230" s="71" t="str">
        <f t="shared" si="1"/>
        <v>No</v>
      </c>
      <c r="U230" s="71">
        <v>2209</v>
      </c>
      <c r="V230" s="71">
        <v>81</v>
      </c>
      <c r="W230" s="71">
        <v>119</v>
      </c>
      <c r="X230" s="71">
        <v>11</v>
      </c>
      <c r="Y230" s="71">
        <v>15</v>
      </c>
      <c r="Z230" s="73">
        <v>2650.42</v>
      </c>
      <c r="AA230" s="73">
        <v>4552</v>
      </c>
      <c r="AB230" s="74">
        <v>0.78</v>
      </c>
    </row>
    <row r="231" spans="1:28" ht="15.75" customHeight="1" x14ac:dyDescent="0.3">
      <c r="A231" s="79" t="s">
        <v>412</v>
      </c>
      <c r="B231" s="80">
        <v>45428</v>
      </c>
      <c r="C231" s="79" t="s">
        <v>85</v>
      </c>
      <c r="D231" s="79" t="s">
        <v>86</v>
      </c>
      <c r="E231" s="79" t="s">
        <v>87</v>
      </c>
      <c r="F231" s="79" t="s">
        <v>44</v>
      </c>
      <c r="G231" s="79" t="s">
        <v>140</v>
      </c>
      <c r="H231" s="79" t="s">
        <v>141</v>
      </c>
      <c r="I231" s="79" t="s">
        <v>58</v>
      </c>
      <c r="J231" s="79" t="s">
        <v>90</v>
      </c>
      <c r="K231" s="79" t="s">
        <v>91</v>
      </c>
      <c r="L231" s="79" t="s">
        <v>92</v>
      </c>
      <c r="M231" s="79" t="s">
        <v>51</v>
      </c>
      <c r="N231" s="79">
        <v>652</v>
      </c>
      <c r="O231" s="81">
        <v>321.14</v>
      </c>
      <c r="P231" s="81">
        <f t="shared" si="0"/>
        <v>209383.28</v>
      </c>
      <c r="Q231" s="79">
        <v>19</v>
      </c>
      <c r="R231" s="79">
        <v>28</v>
      </c>
      <c r="S231" s="79">
        <f t="shared" si="2"/>
        <v>9</v>
      </c>
      <c r="T231" s="79" t="str">
        <f t="shared" si="1"/>
        <v>No</v>
      </c>
      <c r="U231" s="79">
        <v>401</v>
      </c>
      <c r="V231" s="79">
        <v>510</v>
      </c>
      <c r="W231" s="79">
        <v>675</v>
      </c>
      <c r="X231" s="79">
        <v>2</v>
      </c>
      <c r="Y231" s="79">
        <v>4</v>
      </c>
      <c r="Z231" s="81">
        <v>237.3</v>
      </c>
      <c r="AA231" s="81">
        <v>7686</v>
      </c>
      <c r="AB231" s="82">
        <v>0.8</v>
      </c>
    </row>
    <row r="232" spans="1:28" ht="15.75" customHeight="1" x14ac:dyDescent="0.3">
      <c r="A232" s="71" t="s">
        <v>413</v>
      </c>
      <c r="B232" s="72">
        <v>45434</v>
      </c>
      <c r="C232" s="71" t="s">
        <v>181</v>
      </c>
      <c r="D232" s="71" t="s">
        <v>182</v>
      </c>
      <c r="E232" s="71" t="s">
        <v>127</v>
      </c>
      <c r="F232" s="71" t="s">
        <v>113</v>
      </c>
      <c r="G232" s="71" t="s">
        <v>122</v>
      </c>
      <c r="H232" s="71" t="s">
        <v>123</v>
      </c>
      <c r="I232" s="71" t="s">
        <v>69</v>
      </c>
      <c r="J232" s="71" t="s">
        <v>80</v>
      </c>
      <c r="K232" s="71" t="s">
        <v>49</v>
      </c>
      <c r="L232" s="71" t="s">
        <v>50</v>
      </c>
      <c r="M232" s="71" t="s">
        <v>51</v>
      </c>
      <c r="N232" s="71">
        <v>47</v>
      </c>
      <c r="O232" s="73">
        <v>1875.36</v>
      </c>
      <c r="P232" s="73">
        <f t="shared" si="0"/>
        <v>88141.92</v>
      </c>
      <c r="Q232" s="71">
        <v>15</v>
      </c>
      <c r="R232" s="71">
        <v>21</v>
      </c>
      <c r="S232" s="71">
        <f t="shared" si="2"/>
        <v>6</v>
      </c>
      <c r="T232" s="71" t="str">
        <f t="shared" si="1"/>
        <v>No</v>
      </c>
      <c r="U232" s="71">
        <v>494</v>
      </c>
      <c r="V232" s="71">
        <v>68</v>
      </c>
      <c r="W232" s="71">
        <v>73</v>
      </c>
      <c r="X232" s="71">
        <v>7</v>
      </c>
      <c r="Y232" s="71">
        <v>10</v>
      </c>
      <c r="Z232" s="73">
        <v>1318.22</v>
      </c>
      <c r="AA232" s="73">
        <v>509</v>
      </c>
      <c r="AB232" s="74">
        <v>0.88</v>
      </c>
    </row>
    <row r="233" spans="1:28" ht="15.75" customHeight="1" x14ac:dyDescent="0.3">
      <c r="A233" s="75" t="s">
        <v>414</v>
      </c>
      <c r="B233" s="76">
        <v>45436</v>
      </c>
      <c r="C233" s="75" t="s">
        <v>98</v>
      </c>
      <c r="D233" s="75" t="s">
        <v>99</v>
      </c>
      <c r="E233" s="75" t="s">
        <v>100</v>
      </c>
      <c r="F233" s="75" t="s">
        <v>128</v>
      </c>
      <c r="G233" s="75" t="s">
        <v>45</v>
      </c>
      <c r="H233" s="75" t="s">
        <v>46</v>
      </c>
      <c r="I233" s="75" t="s">
        <v>47</v>
      </c>
      <c r="J233" s="75" t="s">
        <v>48</v>
      </c>
      <c r="K233" s="75" t="s">
        <v>189</v>
      </c>
      <c r="L233" s="75" t="s">
        <v>190</v>
      </c>
      <c r="M233" s="75" t="s">
        <v>73</v>
      </c>
      <c r="N233" s="75">
        <v>478</v>
      </c>
      <c r="O233" s="77">
        <v>9704.2099999999991</v>
      </c>
      <c r="P233" s="77">
        <f t="shared" si="0"/>
        <v>4638612.38</v>
      </c>
      <c r="Q233" s="75">
        <v>11</v>
      </c>
      <c r="R233" s="75">
        <v>19</v>
      </c>
      <c r="S233" s="75">
        <f t="shared" si="2"/>
        <v>8</v>
      </c>
      <c r="T233" s="75" t="str">
        <f t="shared" si="1"/>
        <v>No</v>
      </c>
      <c r="U233" s="75">
        <v>219</v>
      </c>
      <c r="V233" s="75">
        <v>172</v>
      </c>
      <c r="W233" s="75">
        <v>197</v>
      </c>
      <c r="X233" s="75">
        <v>18</v>
      </c>
      <c r="Y233" s="75">
        <v>25</v>
      </c>
      <c r="Z233" s="77">
        <v>7535.01</v>
      </c>
      <c r="AA233" s="77">
        <v>5859</v>
      </c>
      <c r="AB233" s="78">
        <v>0.89</v>
      </c>
    </row>
    <row r="234" spans="1:28" ht="15.75" customHeight="1" x14ac:dyDescent="0.3">
      <c r="A234" s="71" t="s">
        <v>415</v>
      </c>
      <c r="B234" s="72">
        <v>45439</v>
      </c>
      <c r="C234" s="71" t="s">
        <v>53</v>
      </c>
      <c r="D234" s="71" t="s">
        <v>54</v>
      </c>
      <c r="E234" s="71" t="s">
        <v>43</v>
      </c>
      <c r="F234" s="71" t="s">
        <v>128</v>
      </c>
      <c r="G234" s="71" t="s">
        <v>152</v>
      </c>
      <c r="H234" s="71" t="s">
        <v>153</v>
      </c>
      <c r="I234" s="71" t="s">
        <v>58</v>
      </c>
      <c r="J234" s="71" t="s">
        <v>59</v>
      </c>
      <c r="K234" s="71" t="s">
        <v>60</v>
      </c>
      <c r="L234" s="71" t="s">
        <v>61</v>
      </c>
      <c r="M234" s="71" t="s">
        <v>62</v>
      </c>
      <c r="N234" s="71">
        <v>247</v>
      </c>
      <c r="O234" s="73">
        <v>721.28</v>
      </c>
      <c r="P234" s="73">
        <f t="shared" si="0"/>
        <v>178156.16</v>
      </c>
      <c r="Q234" s="71">
        <v>15</v>
      </c>
      <c r="R234" s="71">
        <v>27</v>
      </c>
      <c r="S234" s="71">
        <f t="shared" si="2"/>
        <v>12</v>
      </c>
      <c r="T234" s="71" t="str">
        <f t="shared" si="1"/>
        <v>No</v>
      </c>
      <c r="U234" s="71">
        <v>2459</v>
      </c>
      <c r="V234" s="71">
        <v>191</v>
      </c>
      <c r="W234" s="71">
        <v>256</v>
      </c>
      <c r="X234" s="71">
        <v>3.5</v>
      </c>
      <c r="Y234" s="71">
        <v>5</v>
      </c>
      <c r="Z234" s="73">
        <v>437.04</v>
      </c>
      <c r="AA234" s="73">
        <v>2739</v>
      </c>
      <c r="AB234" s="74">
        <v>0.92</v>
      </c>
    </row>
    <row r="235" spans="1:28" ht="15.75" customHeight="1" x14ac:dyDescent="0.3">
      <c r="A235" s="79" t="s">
        <v>416</v>
      </c>
      <c r="B235" s="80">
        <v>45445</v>
      </c>
      <c r="C235" s="79" t="s">
        <v>221</v>
      </c>
      <c r="D235" s="79" t="s">
        <v>222</v>
      </c>
      <c r="E235" s="79" t="s">
        <v>77</v>
      </c>
      <c r="F235" s="79" t="s">
        <v>66</v>
      </c>
      <c r="G235" s="79" t="s">
        <v>78</v>
      </c>
      <c r="H235" s="79" t="s">
        <v>79</v>
      </c>
      <c r="I235" s="79" t="s">
        <v>69</v>
      </c>
      <c r="J235" s="79" t="s">
        <v>80</v>
      </c>
      <c r="K235" s="79" t="s">
        <v>60</v>
      </c>
      <c r="L235" s="79" t="s">
        <v>61</v>
      </c>
      <c r="M235" s="79" t="s">
        <v>62</v>
      </c>
      <c r="N235" s="79">
        <v>912</v>
      </c>
      <c r="O235" s="81">
        <v>25.68</v>
      </c>
      <c r="P235" s="81">
        <f t="shared" si="0"/>
        <v>23420.16</v>
      </c>
      <c r="Q235" s="79">
        <v>12</v>
      </c>
      <c r="R235" s="79">
        <v>17</v>
      </c>
      <c r="S235" s="79">
        <f t="shared" si="2"/>
        <v>5</v>
      </c>
      <c r="T235" s="79" t="str">
        <f t="shared" si="1"/>
        <v>No</v>
      </c>
      <c r="U235" s="79">
        <v>666</v>
      </c>
      <c r="V235" s="79">
        <v>753</v>
      </c>
      <c r="W235" s="79">
        <v>888</v>
      </c>
      <c r="X235" s="79">
        <v>1.2</v>
      </c>
      <c r="Y235" s="79">
        <v>2</v>
      </c>
      <c r="Z235" s="81">
        <v>16.96</v>
      </c>
      <c r="AA235" s="81">
        <v>7111</v>
      </c>
      <c r="AB235" s="82">
        <v>0.88</v>
      </c>
    </row>
    <row r="236" spans="1:28" ht="15.75" customHeight="1" x14ac:dyDescent="0.3">
      <c r="A236" s="75" t="s">
        <v>417</v>
      </c>
      <c r="B236" s="76">
        <v>45447</v>
      </c>
      <c r="C236" s="75" t="s">
        <v>133</v>
      </c>
      <c r="D236" s="75" t="s">
        <v>134</v>
      </c>
      <c r="E236" s="75" t="s">
        <v>100</v>
      </c>
      <c r="F236" s="75" t="s">
        <v>44</v>
      </c>
      <c r="G236" s="75" t="s">
        <v>130</v>
      </c>
      <c r="H236" s="75" t="s">
        <v>131</v>
      </c>
      <c r="I236" s="75" t="s">
        <v>69</v>
      </c>
      <c r="J236" s="75" t="s">
        <v>70</v>
      </c>
      <c r="K236" s="75" t="s">
        <v>189</v>
      </c>
      <c r="L236" s="75" t="s">
        <v>190</v>
      </c>
      <c r="M236" s="75" t="s">
        <v>73</v>
      </c>
      <c r="N236" s="75">
        <v>844</v>
      </c>
      <c r="O236" s="77">
        <v>1957.4</v>
      </c>
      <c r="P236" s="77">
        <f t="shared" si="0"/>
        <v>1652045.6</v>
      </c>
      <c r="Q236" s="75">
        <v>17</v>
      </c>
      <c r="R236" s="75">
        <v>29</v>
      </c>
      <c r="S236" s="75">
        <f t="shared" si="2"/>
        <v>12</v>
      </c>
      <c r="T236" s="75" t="str">
        <f t="shared" si="1"/>
        <v>No</v>
      </c>
      <c r="U236" s="75">
        <v>1338</v>
      </c>
      <c r="V236" s="75">
        <v>763</v>
      </c>
      <c r="W236" s="75">
        <v>815</v>
      </c>
      <c r="X236" s="75">
        <v>8</v>
      </c>
      <c r="Y236" s="75">
        <v>12</v>
      </c>
      <c r="Z236" s="77">
        <v>1557.9</v>
      </c>
      <c r="AA236" s="77">
        <v>6173</v>
      </c>
      <c r="AB236" s="78">
        <v>0.91</v>
      </c>
    </row>
    <row r="237" spans="1:28" ht="15.75" customHeight="1" x14ac:dyDescent="0.3">
      <c r="A237" s="75" t="s">
        <v>418</v>
      </c>
      <c r="B237" s="76">
        <v>45448</v>
      </c>
      <c r="C237" s="75" t="s">
        <v>98</v>
      </c>
      <c r="D237" s="75" t="s">
        <v>99</v>
      </c>
      <c r="E237" s="75" t="s">
        <v>100</v>
      </c>
      <c r="F237" s="75" t="s">
        <v>128</v>
      </c>
      <c r="G237" s="75" t="s">
        <v>251</v>
      </c>
      <c r="H237" s="75" t="s">
        <v>252</v>
      </c>
      <c r="I237" s="75" t="s">
        <v>137</v>
      </c>
      <c r="J237" s="75" t="s">
        <v>138</v>
      </c>
      <c r="K237" s="75" t="s">
        <v>108</v>
      </c>
      <c r="L237" s="75" t="s">
        <v>109</v>
      </c>
      <c r="M237" s="75" t="s">
        <v>62</v>
      </c>
      <c r="N237" s="75">
        <v>260</v>
      </c>
      <c r="O237" s="77">
        <v>7747.71</v>
      </c>
      <c r="P237" s="77">
        <f t="shared" si="0"/>
        <v>2014404.6</v>
      </c>
      <c r="Q237" s="75">
        <v>16</v>
      </c>
      <c r="R237" s="75">
        <v>20</v>
      </c>
      <c r="S237" s="75">
        <f t="shared" si="2"/>
        <v>4</v>
      </c>
      <c r="T237" s="75" t="str">
        <f t="shared" si="1"/>
        <v>No</v>
      </c>
      <c r="U237" s="75">
        <v>753</v>
      </c>
      <c r="V237" s="75">
        <v>368</v>
      </c>
      <c r="W237" s="75">
        <v>515</v>
      </c>
      <c r="X237" s="75">
        <v>18</v>
      </c>
      <c r="Y237" s="75">
        <v>25</v>
      </c>
      <c r="Z237" s="77">
        <v>5505.31</v>
      </c>
      <c r="AA237" s="77">
        <v>7987</v>
      </c>
      <c r="AB237" s="78">
        <v>0.9</v>
      </c>
    </row>
    <row r="238" spans="1:28" ht="15.75" customHeight="1" x14ac:dyDescent="0.3">
      <c r="A238" s="71" t="s">
        <v>419</v>
      </c>
      <c r="B238" s="72">
        <v>45450</v>
      </c>
      <c r="C238" s="71" t="s">
        <v>169</v>
      </c>
      <c r="D238" s="71" t="s">
        <v>170</v>
      </c>
      <c r="E238" s="71" t="s">
        <v>100</v>
      </c>
      <c r="F238" s="71" t="s">
        <v>66</v>
      </c>
      <c r="G238" s="71" t="s">
        <v>101</v>
      </c>
      <c r="H238" s="71" t="s">
        <v>102</v>
      </c>
      <c r="I238" s="71" t="s">
        <v>69</v>
      </c>
      <c r="J238" s="71" t="s">
        <v>103</v>
      </c>
      <c r="K238" s="71" t="s">
        <v>104</v>
      </c>
      <c r="L238" s="71" t="s">
        <v>105</v>
      </c>
      <c r="M238" s="71" t="s">
        <v>106</v>
      </c>
      <c r="N238" s="71">
        <v>410</v>
      </c>
      <c r="O238" s="73">
        <v>7116.94</v>
      </c>
      <c r="P238" s="73">
        <f t="shared" si="0"/>
        <v>2917945.4</v>
      </c>
      <c r="Q238" s="71">
        <v>29</v>
      </c>
      <c r="R238" s="71">
        <v>32</v>
      </c>
      <c r="S238" s="71">
        <f t="shared" si="2"/>
        <v>3</v>
      </c>
      <c r="T238" s="71" t="str">
        <f t="shared" si="1"/>
        <v>No</v>
      </c>
      <c r="U238" s="71">
        <v>2881</v>
      </c>
      <c r="V238" s="71">
        <v>338</v>
      </c>
      <c r="W238" s="71">
        <v>495</v>
      </c>
      <c r="X238" s="71">
        <v>15</v>
      </c>
      <c r="Y238" s="71">
        <v>20</v>
      </c>
      <c r="Z238" s="73">
        <v>4609.84</v>
      </c>
      <c r="AA238" s="73">
        <v>2502</v>
      </c>
      <c r="AB238" s="74">
        <v>0.72</v>
      </c>
    </row>
    <row r="239" spans="1:28" ht="15.75" customHeight="1" x14ac:dyDescent="0.3">
      <c r="A239" s="71" t="s">
        <v>420</v>
      </c>
      <c r="B239" s="72">
        <v>45453</v>
      </c>
      <c r="C239" s="71" t="s">
        <v>161</v>
      </c>
      <c r="D239" s="71" t="s">
        <v>162</v>
      </c>
      <c r="E239" s="71" t="s">
        <v>77</v>
      </c>
      <c r="F239" s="71" t="s">
        <v>55</v>
      </c>
      <c r="G239" s="71" t="s">
        <v>67</v>
      </c>
      <c r="H239" s="71" t="s">
        <v>68</v>
      </c>
      <c r="I239" s="71" t="s">
        <v>69</v>
      </c>
      <c r="J239" s="71" t="s">
        <v>70</v>
      </c>
      <c r="K239" s="71" t="s">
        <v>60</v>
      </c>
      <c r="L239" s="71" t="s">
        <v>61</v>
      </c>
      <c r="M239" s="71" t="s">
        <v>62</v>
      </c>
      <c r="N239" s="71">
        <v>229</v>
      </c>
      <c r="O239" s="73">
        <v>46.57</v>
      </c>
      <c r="P239" s="73">
        <f t="shared" si="0"/>
        <v>10664.53</v>
      </c>
      <c r="Q239" s="71">
        <v>28</v>
      </c>
      <c r="R239" s="71">
        <v>40</v>
      </c>
      <c r="S239" s="71">
        <f t="shared" si="2"/>
        <v>12</v>
      </c>
      <c r="T239" s="71" t="str">
        <f t="shared" si="1"/>
        <v>No</v>
      </c>
      <c r="U239" s="71">
        <v>1956</v>
      </c>
      <c r="V239" s="71">
        <v>135</v>
      </c>
      <c r="W239" s="71">
        <v>152</v>
      </c>
      <c r="X239" s="71">
        <v>1.5</v>
      </c>
      <c r="Y239" s="71">
        <v>2</v>
      </c>
      <c r="Z239" s="73">
        <v>31.73</v>
      </c>
      <c r="AA239" s="73">
        <v>1272</v>
      </c>
      <c r="AB239" s="74">
        <v>0.73</v>
      </c>
    </row>
    <row r="240" spans="1:28" ht="15.75" customHeight="1" x14ac:dyDescent="0.3">
      <c r="A240" s="71" t="s">
        <v>421</v>
      </c>
      <c r="B240" s="72">
        <v>45454</v>
      </c>
      <c r="C240" s="71" t="s">
        <v>85</v>
      </c>
      <c r="D240" s="71" t="s">
        <v>86</v>
      </c>
      <c r="E240" s="71" t="s">
        <v>87</v>
      </c>
      <c r="F240" s="71" t="s">
        <v>55</v>
      </c>
      <c r="G240" s="71" t="s">
        <v>78</v>
      </c>
      <c r="H240" s="71" t="s">
        <v>79</v>
      </c>
      <c r="I240" s="71" t="s">
        <v>69</v>
      </c>
      <c r="J240" s="71" t="s">
        <v>80</v>
      </c>
      <c r="K240" s="71" t="s">
        <v>91</v>
      </c>
      <c r="L240" s="71" t="s">
        <v>92</v>
      </c>
      <c r="M240" s="71" t="s">
        <v>51</v>
      </c>
      <c r="N240" s="71">
        <v>176</v>
      </c>
      <c r="O240" s="73">
        <v>319.44</v>
      </c>
      <c r="P240" s="73">
        <f t="shared" si="0"/>
        <v>56221.440000000002</v>
      </c>
      <c r="Q240" s="71">
        <v>24</v>
      </c>
      <c r="R240" s="71">
        <v>34</v>
      </c>
      <c r="S240" s="71">
        <f t="shared" si="2"/>
        <v>10</v>
      </c>
      <c r="T240" s="71" t="str">
        <f t="shared" si="1"/>
        <v>No</v>
      </c>
      <c r="U240" s="71">
        <v>1397</v>
      </c>
      <c r="V240" s="71">
        <v>159</v>
      </c>
      <c r="W240" s="71">
        <v>183</v>
      </c>
      <c r="X240" s="71">
        <v>2</v>
      </c>
      <c r="Y240" s="71">
        <v>4</v>
      </c>
      <c r="Z240" s="73">
        <v>222.96</v>
      </c>
      <c r="AA240" s="73">
        <v>5111</v>
      </c>
      <c r="AB240" s="74">
        <v>0.78</v>
      </c>
    </row>
    <row r="241" spans="1:28" ht="15.75" customHeight="1" x14ac:dyDescent="0.3">
      <c r="A241" s="71" t="s">
        <v>422</v>
      </c>
      <c r="B241" s="72">
        <v>45455</v>
      </c>
      <c r="C241" s="71" t="s">
        <v>234</v>
      </c>
      <c r="D241" s="71" t="s">
        <v>235</v>
      </c>
      <c r="E241" s="71" t="s">
        <v>43</v>
      </c>
      <c r="F241" s="71" t="s">
        <v>113</v>
      </c>
      <c r="G241" s="71" t="s">
        <v>175</v>
      </c>
      <c r="H241" s="71" t="s">
        <v>176</v>
      </c>
      <c r="I241" s="71" t="s">
        <v>58</v>
      </c>
      <c r="J241" s="71" t="s">
        <v>59</v>
      </c>
      <c r="K241" s="71" t="s">
        <v>60</v>
      </c>
      <c r="L241" s="71" t="s">
        <v>61</v>
      </c>
      <c r="M241" s="71" t="s">
        <v>62</v>
      </c>
      <c r="N241" s="71">
        <v>896</v>
      </c>
      <c r="O241" s="73">
        <v>1164.69</v>
      </c>
      <c r="P241" s="73">
        <f t="shared" si="0"/>
        <v>1043562.24</v>
      </c>
      <c r="Q241" s="71">
        <v>14</v>
      </c>
      <c r="R241" s="71">
        <v>16</v>
      </c>
      <c r="S241" s="71">
        <f t="shared" si="2"/>
        <v>2</v>
      </c>
      <c r="T241" s="71" t="str">
        <f t="shared" si="1"/>
        <v>No</v>
      </c>
      <c r="U241" s="71">
        <v>2285</v>
      </c>
      <c r="V241" s="71">
        <v>759</v>
      </c>
      <c r="W241" s="71">
        <v>803</v>
      </c>
      <c r="X241" s="71">
        <v>5</v>
      </c>
      <c r="Y241" s="71">
        <v>8</v>
      </c>
      <c r="Z241" s="73">
        <v>766.74</v>
      </c>
      <c r="AA241" s="73">
        <v>6926</v>
      </c>
      <c r="AB241" s="74">
        <v>0.79</v>
      </c>
    </row>
    <row r="242" spans="1:28" ht="15.75" customHeight="1" x14ac:dyDescent="0.3">
      <c r="A242" s="71" t="s">
        <v>423</v>
      </c>
      <c r="B242" s="72">
        <v>45458</v>
      </c>
      <c r="C242" s="71" t="s">
        <v>187</v>
      </c>
      <c r="D242" s="71" t="s">
        <v>188</v>
      </c>
      <c r="E242" s="71" t="s">
        <v>100</v>
      </c>
      <c r="F242" s="71" t="s">
        <v>44</v>
      </c>
      <c r="G242" s="71" t="s">
        <v>152</v>
      </c>
      <c r="H242" s="71" t="s">
        <v>153</v>
      </c>
      <c r="I242" s="71" t="s">
        <v>58</v>
      </c>
      <c r="J242" s="71" t="s">
        <v>59</v>
      </c>
      <c r="K242" s="71" t="s">
        <v>104</v>
      </c>
      <c r="L242" s="71" t="s">
        <v>105</v>
      </c>
      <c r="M242" s="71" t="s">
        <v>106</v>
      </c>
      <c r="N242" s="71">
        <v>687</v>
      </c>
      <c r="O242" s="73">
        <v>4542.9799999999996</v>
      </c>
      <c r="P242" s="73">
        <f t="shared" si="0"/>
        <v>3121027.26</v>
      </c>
      <c r="Q242" s="71">
        <v>20</v>
      </c>
      <c r="R242" s="71">
        <v>31</v>
      </c>
      <c r="S242" s="71">
        <f t="shared" si="2"/>
        <v>11</v>
      </c>
      <c r="T242" s="71" t="str">
        <f t="shared" si="1"/>
        <v>No</v>
      </c>
      <c r="U242" s="71">
        <v>2790</v>
      </c>
      <c r="V242" s="71">
        <v>734</v>
      </c>
      <c r="W242" s="71">
        <v>663</v>
      </c>
      <c r="X242" s="71">
        <v>12</v>
      </c>
      <c r="Y242" s="71">
        <v>18</v>
      </c>
      <c r="Z242" s="73">
        <v>3476.69</v>
      </c>
      <c r="AA242" s="73">
        <v>7807</v>
      </c>
      <c r="AB242" s="74">
        <v>0.98</v>
      </c>
    </row>
    <row r="243" spans="1:28" ht="15.75" customHeight="1" x14ac:dyDescent="0.3">
      <c r="A243" s="79" t="s">
        <v>424</v>
      </c>
      <c r="B243" s="80">
        <v>45458</v>
      </c>
      <c r="C243" s="79" t="s">
        <v>117</v>
      </c>
      <c r="D243" s="79" t="s">
        <v>118</v>
      </c>
      <c r="E243" s="79" t="s">
        <v>87</v>
      </c>
      <c r="F243" s="79" t="s">
        <v>128</v>
      </c>
      <c r="G243" s="79" t="s">
        <v>203</v>
      </c>
      <c r="H243" s="79" t="s">
        <v>204</v>
      </c>
      <c r="I243" s="79" t="s">
        <v>58</v>
      </c>
      <c r="J243" s="79" t="s">
        <v>90</v>
      </c>
      <c r="K243" s="79" t="s">
        <v>91</v>
      </c>
      <c r="L243" s="79" t="s">
        <v>92</v>
      </c>
      <c r="M243" s="79" t="s">
        <v>51</v>
      </c>
      <c r="N243" s="79">
        <v>846</v>
      </c>
      <c r="O243" s="81">
        <v>2046.33</v>
      </c>
      <c r="P243" s="81">
        <f t="shared" si="0"/>
        <v>1731195.18</v>
      </c>
      <c r="Q243" s="79">
        <v>18</v>
      </c>
      <c r="R243" s="79">
        <v>25</v>
      </c>
      <c r="S243" s="79">
        <f t="shared" si="2"/>
        <v>7</v>
      </c>
      <c r="T243" s="79" t="str">
        <f t="shared" si="1"/>
        <v>No</v>
      </c>
      <c r="U243" s="79">
        <v>310</v>
      </c>
      <c r="V243" s="79">
        <v>486</v>
      </c>
      <c r="W243" s="79">
        <v>419</v>
      </c>
      <c r="X243" s="79">
        <v>7</v>
      </c>
      <c r="Y243" s="79">
        <v>10</v>
      </c>
      <c r="Z243" s="81">
        <v>1557.65</v>
      </c>
      <c r="AA243" s="81">
        <v>1345</v>
      </c>
      <c r="AB243" s="82">
        <v>0.79</v>
      </c>
    </row>
    <row r="244" spans="1:28" ht="15.75" customHeight="1" x14ac:dyDescent="0.3">
      <c r="A244" s="71" t="s">
        <v>425</v>
      </c>
      <c r="B244" s="72">
        <v>45458</v>
      </c>
      <c r="C244" s="71" t="s">
        <v>221</v>
      </c>
      <c r="D244" s="71" t="s">
        <v>222</v>
      </c>
      <c r="E244" s="71" t="s">
        <v>77</v>
      </c>
      <c r="F244" s="71" t="s">
        <v>128</v>
      </c>
      <c r="G244" s="71" t="s">
        <v>145</v>
      </c>
      <c r="H244" s="71" t="s">
        <v>146</v>
      </c>
      <c r="I244" s="71" t="s">
        <v>69</v>
      </c>
      <c r="J244" s="71" t="s">
        <v>70</v>
      </c>
      <c r="K244" s="71" t="s">
        <v>60</v>
      </c>
      <c r="L244" s="71" t="s">
        <v>61</v>
      </c>
      <c r="M244" s="71" t="s">
        <v>62</v>
      </c>
      <c r="N244" s="71">
        <v>90</v>
      </c>
      <c r="O244" s="73">
        <v>28.21</v>
      </c>
      <c r="P244" s="73">
        <f t="shared" si="0"/>
        <v>2538.9</v>
      </c>
      <c r="Q244" s="71">
        <v>10</v>
      </c>
      <c r="R244" s="71">
        <v>17</v>
      </c>
      <c r="S244" s="71">
        <f t="shared" si="2"/>
        <v>7</v>
      </c>
      <c r="T244" s="71" t="str">
        <f t="shared" si="1"/>
        <v>No</v>
      </c>
      <c r="U244" s="71">
        <v>1335</v>
      </c>
      <c r="V244" s="71">
        <v>38</v>
      </c>
      <c r="W244" s="71">
        <v>39</v>
      </c>
      <c r="X244" s="71">
        <v>1.2</v>
      </c>
      <c r="Y244" s="71">
        <v>2</v>
      </c>
      <c r="Z244" s="73">
        <v>18.600000000000001</v>
      </c>
      <c r="AA244" s="73">
        <v>4152</v>
      </c>
      <c r="AB244" s="74">
        <v>0.87</v>
      </c>
    </row>
    <row r="245" spans="1:28" ht="15.75" customHeight="1" x14ac:dyDescent="0.3">
      <c r="A245" s="71" t="s">
        <v>426</v>
      </c>
      <c r="B245" s="72">
        <v>45458</v>
      </c>
      <c r="C245" s="71" t="s">
        <v>169</v>
      </c>
      <c r="D245" s="71" t="s">
        <v>170</v>
      </c>
      <c r="E245" s="71" t="s">
        <v>100</v>
      </c>
      <c r="F245" s="71" t="s">
        <v>44</v>
      </c>
      <c r="G245" s="71" t="s">
        <v>88</v>
      </c>
      <c r="H245" s="71" t="s">
        <v>89</v>
      </c>
      <c r="I245" s="71" t="s">
        <v>58</v>
      </c>
      <c r="J245" s="71" t="s">
        <v>90</v>
      </c>
      <c r="K245" s="71" t="s">
        <v>189</v>
      </c>
      <c r="L245" s="71" t="s">
        <v>190</v>
      </c>
      <c r="M245" s="71" t="s">
        <v>73</v>
      </c>
      <c r="N245" s="71">
        <v>499</v>
      </c>
      <c r="O245" s="73">
        <v>7013.31</v>
      </c>
      <c r="P245" s="73">
        <f t="shared" si="0"/>
        <v>3499641.6900000004</v>
      </c>
      <c r="Q245" s="71">
        <v>15</v>
      </c>
      <c r="R245" s="71">
        <v>22</v>
      </c>
      <c r="S245" s="71">
        <f t="shared" si="2"/>
        <v>7</v>
      </c>
      <c r="T245" s="71" t="str">
        <f t="shared" si="1"/>
        <v>No</v>
      </c>
      <c r="U245" s="71">
        <v>2203</v>
      </c>
      <c r="V245" s="71">
        <v>354</v>
      </c>
      <c r="W245" s="71">
        <v>370</v>
      </c>
      <c r="X245" s="71">
        <v>15</v>
      </c>
      <c r="Y245" s="71">
        <v>20</v>
      </c>
      <c r="Z245" s="73">
        <v>5290.83</v>
      </c>
      <c r="AA245" s="73">
        <v>6405</v>
      </c>
      <c r="AB245" s="74">
        <v>0.89</v>
      </c>
    </row>
    <row r="246" spans="1:28" ht="15.75" customHeight="1" x14ac:dyDescent="0.3">
      <c r="A246" s="71" t="s">
        <v>427</v>
      </c>
      <c r="B246" s="72">
        <v>45462</v>
      </c>
      <c r="C246" s="71" t="s">
        <v>187</v>
      </c>
      <c r="D246" s="71" t="s">
        <v>188</v>
      </c>
      <c r="E246" s="71" t="s">
        <v>100</v>
      </c>
      <c r="F246" s="71" t="s">
        <v>55</v>
      </c>
      <c r="G246" s="71" t="s">
        <v>130</v>
      </c>
      <c r="H246" s="71" t="s">
        <v>131</v>
      </c>
      <c r="I246" s="71" t="s">
        <v>69</v>
      </c>
      <c r="J246" s="71" t="s">
        <v>70</v>
      </c>
      <c r="K246" s="71" t="s">
        <v>104</v>
      </c>
      <c r="L246" s="71" t="s">
        <v>105</v>
      </c>
      <c r="M246" s="71" t="s">
        <v>106</v>
      </c>
      <c r="N246" s="71">
        <v>139</v>
      </c>
      <c r="O246" s="73">
        <v>4567.2700000000004</v>
      </c>
      <c r="P246" s="73">
        <f t="shared" si="0"/>
        <v>634850.53</v>
      </c>
      <c r="Q246" s="71">
        <v>13</v>
      </c>
      <c r="R246" s="71">
        <v>12</v>
      </c>
      <c r="S246" s="71">
        <f t="shared" si="2"/>
        <v>0</v>
      </c>
      <c r="T246" s="71" t="str">
        <f t="shared" si="1"/>
        <v>Yes</v>
      </c>
      <c r="U246" s="71">
        <v>1392</v>
      </c>
      <c r="V246" s="71">
        <v>176</v>
      </c>
      <c r="W246" s="71">
        <v>174</v>
      </c>
      <c r="X246" s="71">
        <v>12</v>
      </c>
      <c r="Y246" s="71">
        <v>18</v>
      </c>
      <c r="Z246" s="73">
        <v>2798.7</v>
      </c>
      <c r="AA246" s="73">
        <v>6335</v>
      </c>
      <c r="AB246" s="74">
        <v>0.97</v>
      </c>
    </row>
    <row r="247" spans="1:28" ht="15.75" customHeight="1" x14ac:dyDescent="0.3">
      <c r="A247" s="71" t="s">
        <v>428</v>
      </c>
      <c r="B247" s="72">
        <v>45464</v>
      </c>
      <c r="C247" s="71" t="s">
        <v>125</v>
      </c>
      <c r="D247" s="71" t="s">
        <v>126</v>
      </c>
      <c r="E247" s="71" t="s">
        <v>127</v>
      </c>
      <c r="F247" s="71" t="s">
        <v>113</v>
      </c>
      <c r="G247" s="71" t="s">
        <v>114</v>
      </c>
      <c r="H247" s="71" t="s">
        <v>115</v>
      </c>
      <c r="I247" s="71" t="s">
        <v>58</v>
      </c>
      <c r="J247" s="71" t="s">
        <v>90</v>
      </c>
      <c r="K247" s="71" t="s">
        <v>71</v>
      </c>
      <c r="L247" s="71" t="s">
        <v>72</v>
      </c>
      <c r="M247" s="71" t="s">
        <v>73</v>
      </c>
      <c r="N247" s="71">
        <v>317</v>
      </c>
      <c r="O247" s="73">
        <v>3181.17</v>
      </c>
      <c r="P247" s="73">
        <f t="shared" si="0"/>
        <v>1008430.89</v>
      </c>
      <c r="Q247" s="71">
        <v>29</v>
      </c>
      <c r="R247" s="71">
        <v>39</v>
      </c>
      <c r="S247" s="71">
        <f t="shared" si="2"/>
        <v>10</v>
      </c>
      <c r="T247" s="71" t="str">
        <f t="shared" si="1"/>
        <v>No</v>
      </c>
      <c r="U247" s="71">
        <v>1007</v>
      </c>
      <c r="V247" s="71">
        <v>418</v>
      </c>
      <c r="W247" s="71">
        <v>422</v>
      </c>
      <c r="X247" s="71">
        <v>11</v>
      </c>
      <c r="Y247" s="71">
        <v>15</v>
      </c>
      <c r="Z247" s="73">
        <v>2358.89</v>
      </c>
      <c r="AA247" s="73">
        <v>7100</v>
      </c>
      <c r="AB247" s="74">
        <v>0.83</v>
      </c>
    </row>
    <row r="248" spans="1:28" ht="15.75" customHeight="1" x14ac:dyDescent="0.3">
      <c r="A248" s="79" t="s">
        <v>429</v>
      </c>
      <c r="B248" s="80">
        <v>45466</v>
      </c>
      <c r="C248" s="79" t="s">
        <v>181</v>
      </c>
      <c r="D248" s="79" t="s">
        <v>182</v>
      </c>
      <c r="E248" s="79" t="s">
        <v>127</v>
      </c>
      <c r="F248" s="79" t="s">
        <v>128</v>
      </c>
      <c r="G248" s="79" t="s">
        <v>212</v>
      </c>
      <c r="H248" s="79" t="s">
        <v>213</v>
      </c>
      <c r="I248" s="79" t="s">
        <v>214</v>
      </c>
      <c r="J248" s="79" t="s">
        <v>138</v>
      </c>
      <c r="K248" s="79" t="s">
        <v>91</v>
      </c>
      <c r="L248" s="79" t="s">
        <v>92</v>
      </c>
      <c r="M248" s="79" t="s">
        <v>51</v>
      </c>
      <c r="N248" s="79">
        <v>623</v>
      </c>
      <c r="O248" s="81">
        <v>1690.34</v>
      </c>
      <c r="P248" s="81">
        <f t="shared" si="0"/>
        <v>1053081.82</v>
      </c>
      <c r="Q248" s="79">
        <v>11</v>
      </c>
      <c r="R248" s="79">
        <v>15</v>
      </c>
      <c r="S248" s="79">
        <f t="shared" si="2"/>
        <v>4</v>
      </c>
      <c r="T248" s="79" t="str">
        <f t="shared" si="1"/>
        <v>No</v>
      </c>
      <c r="U248" s="79">
        <v>582</v>
      </c>
      <c r="V248" s="79">
        <v>758</v>
      </c>
      <c r="W248" s="79">
        <v>759</v>
      </c>
      <c r="X248" s="79">
        <v>7</v>
      </c>
      <c r="Y248" s="79">
        <v>10</v>
      </c>
      <c r="Z248" s="81">
        <v>1054.76</v>
      </c>
      <c r="AA248" s="81">
        <v>4574</v>
      </c>
      <c r="AB248" s="82">
        <v>0.91</v>
      </c>
    </row>
    <row r="249" spans="1:28" ht="15.75" customHeight="1" x14ac:dyDescent="0.3">
      <c r="A249" s="71" t="s">
        <v>430</v>
      </c>
      <c r="B249" s="72">
        <v>45470</v>
      </c>
      <c r="C249" s="71" t="s">
        <v>53</v>
      </c>
      <c r="D249" s="71" t="s">
        <v>54</v>
      </c>
      <c r="E249" s="71" t="s">
        <v>43</v>
      </c>
      <c r="F249" s="71" t="s">
        <v>113</v>
      </c>
      <c r="G249" s="71" t="s">
        <v>145</v>
      </c>
      <c r="H249" s="71" t="s">
        <v>146</v>
      </c>
      <c r="I249" s="71" t="s">
        <v>69</v>
      </c>
      <c r="J249" s="71" t="s">
        <v>70</v>
      </c>
      <c r="K249" s="71" t="s">
        <v>49</v>
      </c>
      <c r="L249" s="71" t="s">
        <v>50</v>
      </c>
      <c r="M249" s="71" t="s">
        <v>51</v>
      </c>
      <c r="N249" s="71">
        <v>348</v>
      </c>
      <c r="O249" s="73">
        <v>642.16999999999996</v>
      </c>
      <c r="P249" s="73">
        <f t="shared" si="0"/>
        <v>223475.15999999997</v>
      </c>
      <c r="Q249" s="71">
        <v>19</v>
      </c>
      <c r="R249" s="71">
        <v>24</v>
      </c>
      <c r="S249" s="71">
        <f t="shared" si="2"/>
        <v>5</v>
      </c>
      <c r="T249" s="71" t="str">
        <f t="shared" si="1"/>
        <v>No</v>
      </c>
      <c r="U249" s="71">
        <v>1049</v>
      </c>
      <c r="V249" s="71">
        <v>200</v>
      </c>
      <c r="W249" s="71">
        <v>260</v>
      </c>
      <c r="X249" s="71">
        <v>3.5</v>
      </c>
      <c r="Y249" s="71">
        <v>5</v>
      </c>
      <c r="Z249" s="73">
        <v>425.83</v>
      </c>
      <c r="AA249" s="73">
        <v>6585</v>
      </c>
      <c r="AB249" s="74">
        <v>0.85</v>
      </c>
    </row>
    <row r="250" spans="1:28" ht="15.75" customHeight="1" x14ac:dyDescent="0.3">
      <c r="A250" s="71" t="s">
        <v>431</v>
      </c>
      <c r="B250" s="72">
        <v>45473</v>
      </c>
      <c r="C250" s="71" t="s">
        <v>64</v>
      </c>
      <c r="D250" s="71" t="s">
        <v>65</v>
      </c>
      <c r="E250" s="71" t="s">
        <v>43</v>
      </c>
      <c r="F250" s="71" t="s">
        <v>44</v>
      </c>
      <c r="G250" s="71" t="s">
        <v>140</v>
      </c>
      <c r="H250" s="71" t="s">
        <v>141</v>
      </c>
      <c r="I250" s="71" t="s">
        <v>58</v>
      </c>
      <c r="J250" s="71" t="s">
        <v>90</v>
      </c>
      <c r="K250" s="71" t="s">
        <v>71</v>
      </c>
      <c r="L250" s="71" t="s">
        <v>72</v>
      </c>
      <c r="M250" s="71" t="s">
        <v>73</v>
      </c>
      <c r="N250" s="71">
        <v>616</v>
      </c>
      <c r="O250" s="73">
        <v>510.93</v>
      </c>
      <c r="P250" s="73">
        <f t="shared" si="0"/>
        <v>314732.88</v>
      </c>
      <c r="Q250" s="71">
        <v>9</v>
      </c>
      <c r="R250" s="71">
        <v>19</v>
      </c>
      <c r="S250" s="71">
        <f t="shared" si="2"/>
        <v>10</v>
      </c>
      <c r="T250" s="71" t="str">
        <f t="shared" si="1"/>
        <v>No</v>
      </c>
      <c r="U250" s="71">
        <v>2577</v>
      </c>
      <c r="V250" s="71">
        <v>717</v>
      </c>
      <c r="W250" s="71">
        <v>877</v>
      </c>
      <c r="X250" s="71">
        <v>3</v>
      </c>
      <c r="Y250" s="71">
        <v>5</v>
      </c>
      <c r="Z250" s="73">
        <v>392.65</v>
      </c>
      <c r="AA250" s="73">
        <v>5117</v>
      </c>
      <c r="AB250" s="74">
        <v>0.71</v>
      </c>
    </row>
    <row r="251" spans="1:28" ht="15.75" customHeight="1" x14ac:dyDescent="0.3">
      <c r="A251" s="75" t="s">
        <v>432</v>
      </c>
      <c r="B251" s="76">
        <v>45479</v>
      </c>
      <c r="C251" s="75" t="s">
        <v>53</v>
      </c>
      <c r="D251" s="75" t="s">
        <v>54</v>
      </c>
      <c r="E251" s="75" t="s">
        <v>43</v>
      </c>
      <c r="F251" s="75" t="s">
        <v>44</v>
      </c>
      <c r="G251" s="75" t="s">
        <v>158</v>
      </c>
      <c r="H251" s="75" t="s">
        <v>159</v>
      </c>
      <c r="I251" s="75" t="s">
        <v>69</v>
      </c>
      <c r="J251" s="75" t="s">
        <v>70</v>
      </c>
      <c r="K251" s="75" t="s">
        <v>104</v>
      </c>
      <c r="L251" s="75" t="s">
        <v>105</v>
      </c>
      <c r="M251" s="75" t="s">
        <v>106</v>
      </c>
      <c r="N251" s="75">
        <v>860</v>
      </c>
      <c r="O251" s="77">
        <v>611.74</v>
      </c>
      <c r="P251" s="77">
        <f t="shared" si="0"/>
        <v>526096.4</v>
      </c>
      <c r="Q251" s="75">
        <v>20</v>
      </c>
      <c r="R251" s="75">
        <v>22</v>
      </c>
      <c r="S251" s="75">
        <f t="shared" si="2"/>
        <v>2</v>
      </c>
      <c r="T251" s="75" t="str">
        <f t="shared" si="1"/>
        <v>No</v>
      </c>
      <c r="U251" s="75">
        <v>1407</v>
      </c>
      <c r="V251" s="75">
        <v>1087</v>
      </c>
      <c r="W251" s="75">
        <v>1225</v>
      </c>
      <c r="X251" s="75">
        <v>3.5</v>
      </c>
      <c r="Y251" s="75">
        <v>5</v>
      </c>
      <c r="Z251" s="77">
        <v>376.26</v>
      </c>
      <c r="AA251" s="77">
        <v>6678</v>
      </c>
      <c r="AB251" s="78">
        <v>0.97</v>
      </c>
    </row>
    <row r="252" spans="1:28" ht="15.75" customHeight="1" x14ac:dyDescent="0.3">
      <c r="A252" s="71" t="s">
        <v>433</v>
      </c>
      <c r="B252" s="72">
        <v>45480</v>
      </c>
      <c r="C252" s="71" t="s">
        <v>98</v>
      </c>
      <c r="D252" s="71" t="s">
        <v>99</v>
      </c>
      <c r="E252" s="71" t="s">
        <v>100</v>
      </c>
      <c r="F252" s="71" t="s">
        <v>128</v>
      </c>
      <c r="G252" s="71" t="s">
        <v>78</v>
      </c>
      <c r="H252" s="71" t="s">
        <v>79</v>
      </c>
      <c r="I252" s="71" t="s">
        <v>69</v>
      </c>
      <c r="J252" s="71" t="s">
        <v>80</v>
      </c>
      <c r="K252" s="71" t="s">
        <v>108</v>
      </c>
      <c r="L252" s="71" t="s">
        <v>109</v>
      </c>
      <c r="M252" s="71" t="s">
        <v>62</v>
      </c>
      <c r="N252" s="71">
        <v>180</v>
      </c>
      <c r="O252" s="73">
        <v>8513.6299999999992</v>
      </c>
      <c r="P252" s="73">
        <f t="shared" si="0"/>
        <v>1532453.4</v>
      </c>
      <c r="Q252" s="71">
        <v>20</v>
      </c>
      <c r="R252" s="71">
        <v>21</v>
      </c>
      <c r="S252" s="71">
        <f t="shared" si="2"/>
        <v>1</v>
      </c>
      <c r="T252" s="71" t="str">
        <f t="shared" si="1"/>
        <v>No</v>
      </c>
      <c r="U252" s="71">
        <v>1662</v>
      </c>
      <c r="V252" s="71">
        <v>248</v>
      </c>
      <c r="W252" s="71">
        <v>226</v>
      </c>
      <c r="X252" s="71">
        <v>18</v>
      </c>
      <c r="Y252" s="71">
        <v>25</v>
      </c>
      <c r="Z252" s="73">
        <v>5111.8500000000004</v>
      </c>
      <c r="AA252" s="73">
        <v>3698</v>
      </c>
      <c r="AB252" s="74">
        <v>0.77</v>
      </c>
    </row>
    <row r="253" spans="1:28" ht="15.75" customHeight="1" x14ac:dyDescent="0.3">
      <c r="A253" s="79" t="s">
        <v>434</v>
      </c>
      <c r="B253" s="80">
        <v>45481</v>
      </c>
      <c r="C253" s="79" t="s">
        <v>234</v>
      </c>
      <c r="D253" s="79" t="s">
        <v>235</v>
      </c>
      <c r="E253" s="79" t="s">
        <v>43</v>
      </c>
      <c r="F253" s="79" t="s">
        <v>44</v>
      </c>
      <c r="G253" s="79" t="s">
        <v>175</v>
      </c>
      <c r="H253" s="79" t="s">
        <v>176</v>
      </c>
      <c r="I253" s="79" t="s">
        <v>58</v>
      </c>
      <c r="J253" s="79" t="s">
        <v>59</v>
      </c>
      <c r="K253" s="79" t="s">
        <v>71</v>
      </c>
      <c r="L253" s="79" t="s">
        <v>72</v>
      </c>
      <c r="M253" s="79" t="s">
        <v>73</v>
      </c>
      <c r="N253" s="79">
        <v>656</v>
      </c>
      <c r="O253" s="81">
        <v>1285.32</v>
      </c>
      <c r="P253" s="81">
        <f t="shared" si="0"/>
        <v>843169.91999999993</v>
      </c>
      <c r="Q253" s="79">
        <v>14</v>
      </c>
      <c r="R253" s="79">
        <v>15</v>
      </c>
      <c r="S253" s="79">
        <f t="shared" si="2"/>
        <v>1</v>
      </c>
      <c r="T253" s="79" t="str">
        <f t="shared" si="1"/>
        <v>No</v>
      </c>
      <c r="U253" s="79">
        <v>390</v>
      </c>
      <c r="V253" s="79">
        <v>538</v>
      </c>
      <c r="W253" s="79">
        <v>467</v>
      </c>
      <c r="X253" s="79">
        <v>5</v>
      </c>
      <c r="Y253" s="79">
        <v>8</v>
      </c>
      <c r="Z253" s="81">
        <v>934.11</v>
      </c>
      <c r="AA253" s="81">
        <v>7648</v>
      </c>
      <c r="AB253" s="82">
        <v>0.73</v>
      </c>
    </row>
    <row r="254" spans="1:28" ht="15.75" customHeight="1" x14ac:dyDescent="0.3">
      <c r="A254" s="71" t="s">
        <v>435</v>
      </c>
      <c r="B254" s="72">
        <v>45482</v>
      </c>
      <c r="C254" s="71" t="s">
        <v>117</v>
      </c>
      <c r="D254" s="71" t="s">
        <v>118</v>
      </c>
      <c r="E254" s="71" t="s">
        <v>87</v>
      </c>
      <c r="F254" s="71" t="s">
        <v>113</v>
      </c>
      <c r="G254" s="71" t="s">
        <v>229</v>
      </c>
      <c r="H254" s="71" t="s">
        <v>230</v>
      </c>
      <c r="I254" s="71" t="s">
        <v>69</v>
      </c>
      <c r="J254" s="71" t="s">
        <v>70</v>
      </c>
      <c r="K254" s="71" t="s">
        <v>81</v>
      </c>
      <c r="L254" s="71" t="s">
        <v>82</v>
      </c>
      <c r="M254" s="71" t="s">
        <v>83</v>
      </c>
      <c r="N254" s="71">
        <v>540</v>
      </c>
      <c r="O254" s="73">
        <v>2178.98</v>
      </c>
      <c r="P254" s="73">
        <f t="shared" si="0"/>
        <v>1176649.2</v>
      </c>
      <c r="Q254" s="71">
        <v>29</v>
      </c>
      <c r="R254" s="71">
        <v>34</v>
      </c>
      <c r="S254" s="71">
        <f t="shared" si="2"/>
        <v>5</v>
      </c>
      <c r="T254" s="71" t="str">
        <f t="shared" si="1"/>
        <v>No</v>
      </c>
      <c r="U254" s="71">
        <v>2581</v>
      </c>
      <c r="V254" s="71">
        <v>448</v>
      </c>
      <c r="W254" s="71">
        <v>374</v>
      </c>
      <c r="X254" s="71">
        <v>7</v>
      </c>
      <c r="Y254" s="71">
        <v>10</v>
      </c>
      <c r="Z254" s="73">
        <v>1423.77</v>
      </c>
      <c r="AA254" s="73">
        <v>1573</v>
      </c>
      <c r="AB254" s="74">
        <v>0.96</v>
      </c>
    </row>
    <row r="255" spans="1:28" ht="15.75" customHeight="1" x14ac:dyDescent="0.3">
      <c r="A255" s="71" t="s">
        <v>436</v>
      </c>
      <c r="B255" s="72">
        <v>45483</v>
      </c>
      <c r="C255" s="71" t="s">
        <v>98</v>
      </c>
      <c r="D255" s="71" t="s">
        <v>99</v>
      </c>
      <c r="E255" s="71" t="s">
        <v>100</v>
      </c>
      <c r="F255" s="71" t="s">
        <v>113</v>
      </c>
      <c r="G255" s="71" t="s">
        <v>171</v>
      </c>
      <c r="H255" s="71" t="s">
        <v>172</v>
      </c>
      <c r="I255" s="71" t="s">
        <v>58</v>
      </c>
      <c r="J255" s="71" t="s">
        <v>90</v>
      </c>
      <c r="K255" s="71" t="s">
        <v>189</v>
      </c>
      <c r="L255" s="71" t="s">
        <v>190</v>
      </c>
      <c r="M255" s="71" t="s">
        <v>73</v>
      </c>
      <c r="N255" s="71">
        <v>377</v>
      </c>
      <c r="O255" s="73">
        <v>8669.33</v>
      </c>
      <c r="P255" s="73">
        <f t="shared" si="0"/>
        <v>3268337.41</v>
      </c>
      <c r="Q255" s="71">
        <v>30</v>
      </c>
      <c r="R255" s="71">
        <v>35</v>
      </c>
      <c r="S255" s="71">
        <f t="shared" si="2"/>
        <v>5</v>
      </c>
      <c r="T255" s="71" t="str">
        <f t="shared" si="1"/>
        <v>No</v>
      </c>
      <c r="U255" s="71">
        <v>1429</v>
      </c>
      <c r="V255" s="71">
        <v>525</v>
      </c>
      <c r="W255" s="71">
        <v>604</v>
      </c>
      <c r="X255" s="71">
        <v>18</v>
      </c>
      <c r="Y255" s="71">
        <v>25</v>
      </c>
      <c r="Z255" s="73">
        <v>5875</v>
      </c>
      <c r="AA255" s="73">
        <v>1973</v>
      </c>
      <c r="AB255" s="74">
        <v>0.71</v>
      </c>
    </row>
    <row r="256" spans="1:28" ht="15.75" customHeight="1" x14ac:dyDescent="0.3">
      <c r="A256" s="71" t="s">
        <v>437</v>
      </c>
      <c r="B256" s="72">
        <v>45495</v>
      </c>
      <c r="C256" s="71" t="s">
        <v>161</v>
      </c>
      <c r="D256" s="71" t="s">
        <v>162</v>
      </c>
      <c r="E256" s="71" t="s">
        <v>77</v>
      </c>
      <c r="F256" s="71" t="s">
        <v>113</v>
      </c>
      <c r="G256" s="71" t="s">
        <v>140</v>
      </c>
      <c r="H256" s="71" t="s">
        <v>141</v>
      </c>
      <c r="I256" s="71" t="s">
        <v>58</v>
      </c>
      <c r="J256" s="71" t="s">
        <v>90</v>
      </c>
      <c r="K256" s="71" t="s">
        <v>60</v>
      </c>
      <c r="L256" s="71" t="s">
        <v>61</v>
      </c>
      <c r="M256" s="71" t="s">
        <v>62</v>
      </c>
      <c r="N256" s="71">
        <v>468</v>
      </c>
      <c r="O256" s="73">
        <v>49.42</v>
      </c>
      <c r="P256" s="73">
        <f t="shared" si="0"/>
        <v>23128.560000000001</v>
      </c>
      <c r="Q256" s="71">
        <v>7</v>
      </c>
      <c r="R256" s="71">
        <v>9</v>
      </c>
      <c r="S256" s="71">
        <f t="shared" si="2"/>
        <v>2</v>
      </c>
      <c r="T256" s="71" t="str">
        <f t="shared" si="1"/>
        <v>No</v>
      </c>
      <c r="U256" s="71">
        <v>927</v>
      </c>
      <c r="V256" s="71">
        <v>367</v>
      </c>
      <c r="W256" s="71">
        <v>356</v>
      </c>
      <c r="X256" s="71">
        <v>1.5</v>
      </c>
      <c r="Y256" s="71">
        <v>2</v>
      </c>
      <c r="Z256" s="73">
        <v>36.21</v>
      </c>
      <c r="AA256" s="73">
        <v>3523</v>
      </c>
      <c r="AB256" s="74">
        <v>0.83</v>
      </c>
    </row>
    <row r="257" spans="1:28" ht="15.75" customHeight="1" x14ac:dyDescent="0.3">
      <c r="A257" s="79" t="s">
        <v>438</v>
      </c>
      <c r="B257" s="80">
        <v>45498</v>
      </c>
      <c r="C257" s="79" t="s">
        <v>53</v>
      </c>
      <c r="D257" s="79" t="s">
        <v>54</v>
      </c>
      <c r="E257" s="79" t="s">
        <v>43</v>
      </c>
      <c r="F257" s="79" t="s">
        <v>66</v>
      </c>
      <c r="G257" s="79" t="s">
        <v>236</v>
      </c>
      <c r="H257" s="79" t="s">
        <v>237</v>
      </c>
      <c r="I257" s="79" t="s">
        <v>47</v>
      </c>
      <c r="J257" s="79" t="s">
        <v>48</v>
      </c>
      <c r="K257" s="79" t="s">
        <v>49</v>
      </c>
      <c r="L257" s="79" t="s">
        <v>50</v>
      </c>
      <c r="M257" s="79" t="s">
        <v>51</v>
      </c>
      <c r="N257" s="79">
        <v>531</v>
      </c>
      <c r="O257" s="81">
        <v>650.23</v>
      </c>
      <c r="P257" s="81">
        <f t="shared" si="0"/>
        <v>345272.13</v>
      </c>
      <c r="Q257" s="79">
        <v>6</v>
      </c>
      <c r="R257" s="79">
        <v>4</v>
      </c>
      <c r="S257" s="79">
        <f t="shared" si="2"/>
        <v>0</v>
      </c>
      <c r="T257" s="79" t="str">
        <f t="shared" si="1"/>
        <v>Yes</v>
      </c>
      <c r="U257" s="79">
        <v>179</v>
      </c>
      <c r="V257" s="79">
        <v>246</v>
      </c>
      <c r="W257" s="79">
        <v>254</v>
      </c>
      <c r="X257" s="79">
        <v>3.5</v>
      </c>
      <c r="Y257" s="79">
        <v>5</v>
      </c>
      <c r="Z257" s="81">
        <v>451.74</v>
      </c>
      <c r="AA257" s="81">
        <v>4243</v>
      </c>
      <c r="AB257" s="82">
        <v>0.74</v>
      </c>
    </row>
    <row r="258" spans="1:28" ht="15.75" customHeight="1" x14ac:dyDescent="0.3">
      <c r="A258" s="71" t="s">
        <v>439</v>
      </c>
      <c r="B258" s="72">
        <v>45502</v>
      </c>
      <c r="C258" s="71" t="s">
        <v>187</v>
      </c>
      <c r="D258" s="71" t="s">
        <v>188</v>
      </c>
      <c r="E258" s="71" t="s">
        <v>100</v>
      </c>
      <c r="F258" s="71" t="s">
        <v>113</v>
      </c>
      <c r="G258" s="71" t="s">
        <v>114</v>
      </c>
      <c r="H258" s="71" t="s">
        <v>115</v>
      </c>
      <c r="I258" s="71" t="s">
        <v>58</v>
      </c>
      <c r="J258" s="71" t="s">
        <v>90</v>
      </c>
      <c r="K258" s="71" t="s">
        <v>189</v>
      </c>
      <c r="L258" s="71" t="s">
        <v>190</v>
      </c>
      <c r="M258" s="71" t="s">
        <v>73</v>
      </c>
      <c r="N258" s="71">
        <v>513</v>
      </c>
      <c r="O258" s="73">
        <v>4216.41</v>
      </c>
      <c r="P258" s="73">
        <f t="shared" ref="P258:P322" si="3">N258*O258</f>
        <v>2163018.33</v>
      </c>
      <c r="Q258" s="71">
        <v>19</v>
      </c>
      <c r="R258" s="71">
        <v>24</v>
      </c>
      <c r="S258" s="71">
        <f t="shared" ref="S258:S322" si="4">MAX(0,R258-Q258)</f>
        <v>5</v>
      </c>
      <c r="T258" s="71" t="str">
        <f t="shared" ref="T258:T322" si="5">IF(S258=0,"Yes","No")</f>
        <v>No</v>
      </c>
      <c r="U258" s="71">
        <v>705</v>
      </c>
      <c r="V258" s="71">
        <v>204</v>
      </c>
      <c r="W258" s="71">
        <v>167</v>
      </c>
      <c r="X258" s="71">
        <v>12</v>
      </c>
      <c r="Y258" s="71">
        <v>18</v>
      </c>
      <c r="Z258" s="73">
        <v>3171.63</v>
      </c>
      <c r="AA258" s="73">
        <v>2892</v>
      </c>
      <c r="AB258" s="74">
        <v>0.71</v>
      </c>
    </row>
    <row r="259" spans="1:28" ht="15.75" customHeight="1" x14ac:dyDescent="0.3">
      <c r="A259" s="75" t="s">
        <v>440</v>
      </c>
      <c r="B259" s="76">
        <v>45502</v>
      </c>
      <c r="C259" s="75" t="s">
        <v>206</v>
      </c>
      <c r="D259" s="75" t="s">
        <v>207</v>
      </c>
      <c r="E259" s="75" t="s">
        <v>127</v>
      </c>
      <c r="F259" s="75" t="s">
        <v>44</v>
      </c>
      <c r="G259" s="75" t="s">
        <v>166</v>
      </c>
      <c r="H259" s="75" t="s">
        <v>167</v>
      </c>
      <c r="I259" s="75" t="s">
        <v>69</v>
      </c>
      <c r="J259" s="75" t="s">
        <v>103</v>
      </c>
      <c r="K259" s="75" t="s">
        <v>49</v>
      </c>
      <c r="L259" s="75" t="s">
        <v>50</v>
      </c>
      <c r="M259" s="75" t="s">
        <v>51</v>
      </c>
      <c r="N259" s="75">
        <v>737</v>
      </c>
      <c r="O259" s="77">
        <v>954.15</v>
      </c>
      <c r="P259" s="77">
        <f t="shared" si="3"/>
        <v>703208.54999999993</v>
      </c>
      <c r="Q259" s="75">
        <v>28</v>
      </c>
      <c r="R259" s="75">
        <v>34</v>
      </c>
      <c r="S259" s="75">
        <f t="shared" si="4"/>
        <v>6</v>
      </c>
      <c r="T259" s="75" t="str">
        <f t="shared" si="5"/>
        <v>No</v>
      </c>
      <c r="U259" s="75">
        <v>1191</v>
      </c>
      <c r="V259" s="75">
        <v>997</v>
      </c>
      <c r="W259" s="75">
        <v>1092</v>
      </c>
      <c r="X259" s="75">
        <v>4</v>
      </c>
      <c r="Y259" s="75">
        <v>6</v>
      </c>
      <c r="Z259" s="77">
        <v>574.92999999999995</v>
      </c>
      <c r="AA259" s="77">
        <v>1372</v>
      </c>
      <c r="AB259" s="78">
        <v>0.71</v>
      </c>
    </row>
    <row r="260" spans="1:28" ht="15.75" customHeight="1" x14ac:dyDescent="0.3">
      <c r="A260" s="71" t="s">
        <v>441</v>
      </c>
      <c r="B260" s="72">
        <v>45503</v>
      </c>
      <c r="C260" s="71" t="s">
        <v>181</v>
      </c>
      <c r="D260" s="71" t="s">
        <v>182</v>
      </c>
      <c r="E260" s="71" t="s">
        <v>127</v>
      </c>
      <c r="F260" s="71" t="s">
        <v>128</v>
      </c>
      <c r="G260" s="71" t="s">
        <v>212</v>
      </c>
      <c r="H260" s="71" t="s">
        <v>213</v>
      </c>
      <c r="I260" s="71" t="s">
        <v>214</v>
      </c>
      <c r="J260" s="71" t="s">
        <v>138</v>
      </c>
      <c r="K260" s="71" t="s">
        <v>71</v>
      </c>
      <c r="L260" s="71" t="s">
        <v>72</v>
      </c>
      <c r="M260" s="71" t="s">
        <v>73</v>
      </c>
      <c r="N260" s="71">
        <v>581</v>
      </c>
      <c r="O260" s="73">
        <v>2018.56</v>
      </c>
      <c r="P260" s="73">
        <f t="shared" si="3"/>
        <v>1172783.3599999999</v>
      </c>
      <c r="Q260" s="71">
        <v>24</v>
      </c>
      <c r="R260" s="71">
        <v>31</v>
      </c>
      <c r="S260" s="71">
        <f t="shared" si="4"/>
        <v>7</v>
      </c>
      <c r="T260" s="71" t="str">
        <f t="shared" si="5"/>
        <v>No</v>
      </c>
      <c r="U260" s="71">
        <v>2553</v>
      </c>
      <c r="V260" s="71">
        <v>331</v>
      </c>
      <c r="W260" s="71">
        <v>385</v>
      </c>
      <c r="X260" s="71">
        <v>7</v>
      </c>
      <c r="Y260" s="71">
        <v>10</v>
      </c>
      <c r="Z260" s="73">
        <v>1393.01</v>
      </c>
      <c r="AA260" s="73">
        <v>4126</v>
      </c>
      <c r="AB260" s="74">
        <v>0.78</v>
      </c>
    </row>
    <row r="261" spans="1:28" ht="15.75" customHeight="1" x14ac:dyDescent="0.3">
      <c r="A261" s="71" t="s">
        <v>442</v>
      </c>
      <c r="B261" s="72">
        <v>45505</v>
      </c>
      <c r="C261" s="71" t="s">
        <v>155</v>
      </c>
      <c r="D261" s="71" t="s">
        <v>156</v>
      </c>
      <c r="E261" s="71" t="s">
        <v>87</v>
      </c>
      <c r="F261" s="71" t="s">
        <v>55</v>
      </c>
      <c r="G261" s="71" t="s">
        <v>251</v>
      </c>
      <c r="H261" s="71" t="s">
        <v>252</v>
      </c>
      <c r="I261" s="71" t="s">
        <v>137</v>
      </c>
      <c r="J261" s="71" t="s">
        <v>138</v>
      </c>
      <c r="K261" s="71" t="s">
        <v>91</v>
      </c>
      <c r="L261" s="71" t="s">
        <v>92</v>
      </c>
      <c r="M261" s="71" t="s">
        <v>51</v>
      </c>
      <c r="N261" s="71">
        <v>164</v>
      </c>
      <c r="O261" s="73">
        <v>181.79</v>
      </c>
      <c r="P261" s="73">
        <f t="shared" si="3"/>
        <v>29813.559999999998</v>
      </c>
      <c r="Q261" s="71">
        <v>20</v>
      </c>
      <c r="R261" s="71">
        <v>25</v>
      </c>
      <c r="S261" s="71">
        <f t="shared" si="4"/>
        <v>5</v>
      </c>
      <c r="T261" s="71" t="str">
        <f t="shared" si="5"/>
        <v>No</v>
      </c>
      <c r="U261" s="71">
        <v>2606</v>
      </c>
      <c r="V261" s="71">
        <v>108</v>
      </c>
      <c r="W261" s="71">
        <v>107</v>
      </c>
      <c r="X261" s="71">
        <v>2.5</v>
      </c>
      <c r="Y261" s="71">
        <v>4</v>
      </c>
      <c r="Z261" s="73">
        <v>111.12</v>
      </c>
      <c r="AA261" s="73">
        <v>4656</v>
      </c>
      <c r="AB261" s="74">
        <v>0.72</v>
      </c>
    </row>
    <row r="262" spans="1:28" ht="15.75" customHeight="1" x14ac:dyDescent="0.3">
      <c r="A262" s="71" t="s">
        <v>443</v>
      </c>
      <c r="B262" s="72">
        <v>45507</v>
      </c>
      <c r="C262" s="71" t="s">
        <v>234</v>
      </c>
      <c r="D262" s="71" t="s">
        <v>235</v>
      </c>
      <c r="E262" s="71" t="s">
        <v>43</v>
      </c>
      <c r="F262" s="71" t="s">
        <v>44</v>
      </c>
      <c r="G262" s="71" t="s">
        <v>265</v>
      </c>
      <c r="H262" s="71" t="s">
        <v>266</v>
      </c>
      <c r="I262" s="71" t="s">
        <v>69</v>
      </c>
      <c r="J262" s="71" t="s">
        <v>70</v>
      </c>
      <c r="K262" s="71" t="s">
        <v>60</v>
      </c>
      <c r="L262" s="71" t="s">
        <v>61</v>
      </c>
      <c r="M262" s="71" t="s">
        <v>62</v>
      </c>
      <c r="N262" s="71">
        <v>981</v>
      </c>
      <c r="O262" s="73">
        <v>1191.29</v>
      </c>
      <c r="P262" s="73">
        <f t="shared" si="3"/>
        <v>1168655.49</v>
      </c>
      <c r="Q262" s="71">
        <v>19</v>
      </c>
      <c r="R262" s="71">
        <v>18</v>
      </c>
      <c r="S262" s="71">
        <f t="shared" si="4"/>
        <v>0</v>
      </c>
      <c r="T262" s="71" t="str">
        <f t="shared" si="5"/>
        <v>Yes</v>
      </c>
      <c r="U262" s="71">
        <v>2370</v>
      </c>
      <c r="V262" s="71">
        <v>456</v>
      </c>
      <c r="W262" s="71">
        <v>481</v>
      </c>
      <c r="X262" s="71">
        <v>5</v>
      </c>
      <c r="Y262" s="71">
        <v>8</v>
      </c>
      <c r="Z262" s="73">
        <v>789.68</v>
      </c>
      <c r="AA262" s="73">
        <v>2783</v>
      </c>
      <c r="AB262" s="74">
        <v>0.77</v>
      </c>
    </row>
    <row r="263" spans="1:28" ht="15.75" customHeight="1" x14ac:dyDescent="0.3">
      <c r="A263" s="71" t="s">
        <v>444</v>
      </c>
      <c r="B263" s="72">
        <v>45508</v>
      </c>
      <c r="C263" s="71" t="s">
        <v>234</v>
      </c>
      <c r="D263" s="71" t="s">
        <v>235</v>
      </c>
      <c r="E263" s="71" t="s">
        <v>43</v>
      </c>
      <c r="F263" s="71" t="s">
        <v>113</v>
      </c>
      <c r="G263" s="71" t="s">
        <v>67</v>
      </c>
      <c r="H263" s="71" t="s">
        <v>68</v>
      </c>
      <c r="I263" s="71" t="s">
        <v>69</v>
      </c>
      <c r="J263" s="71" t="s">
        <v>70</v>
      </c>
      <c r="K263" s="71" t="s">
        <v>71</v>
      </c>
      <c r="L263" s="71" t="s">
        <v>72</v>
      </c>
      <c r="M263" s="71" t="s">
        <v>73</v>
      </c>
      <c r="N263" s="71">
        <v>252</v>
      </c>
      <c r="O263" s="73">
        <v>1167.5</v>
      </c>
      <c r="P263" s="73">
        <f t="shared" si="3"/>
        <v>294210</v>
      </c>
      <c r="Q263" s="71">
        <v>15</v>
      </c>
      <c r="R263" s="71">
        <v>19</v>
      </c>
      <c r="S263" s="71">
        <f t="shared" si="4"/>
        <v>4</v>
      </c>
      <c r="T263" s="71" t="str">
        <f t="shared" si="5"/>
        <v>No</v>
      </c>
      <c r="U263" s="71">
        <v>2890</v>
      </c>
      <c r="V263" s="71">
        <v>327</v>
      </c>
      <c r="W263" s="71">
        <v>336</v>
      </c>
      <c r="X263" s="71">
        <v>5</v>
      </c>
      <c r="Y263" s="71">
        <v>8</v>
      </c>
      <c r="Z263" s="73">
        <v>806.22</v>
      </c>
      <c r="AA263" s="73">
        <v>2413</v>
      </c>
      <c r="AB263" s="74">
        <v>0.72</v>
      </c>
    </row>
    <row r="264" spans="1:28" ht="15.75" customHeight="1" x14ac:dyDescent="0.3">
      <c r="A264" s="79" t="s">
        <v>445</v>
      </c>
      <c r="B264" s="80">
        <v>45509</v>
      </c>
      <c r="C264" s="79" t="s">
        <v>241</v>
      </c>
      <c r="D264" s="79" t="s">
        <v>242</v>
      </c>
      <c r="E264" s="79" t="s">
        <v>100</v>
      </c>
      <c r="F264" s="79" t="s">
        <v>55</v>
      </c>
      <c r="G264" s="79" t="s">
        <v>101</v>
      </c>
      <c r="H264" s="79" t="s">
        <v>102</v>
      </c>
      <c r="I264" s="79" t="s">
        <v>69</v>
      </c>
      <c r="J264" s="79" t="s">
        <v>103</v>
      </c>
      <c r="K264" s="79" t="s">
        <v>189</v>
      </c>
      <c r="L264" s="79" t="s">
        <v>190</v>
      </c>
      <c r="M264" s="79" t="s">
        <v>73</v>
      </c>
      <c r="N264" s="79">
        <v>186</v>
      </c>
      <c r="O264" s="81">
        <v>1636.02</v>
      </c>
      <c r="P264" s="81">
        <f t="shared" si="3"/>
        <v>304299.71999999997</v>
      </c>
      <c r="Q264" s="79">
        <v>29</v>
      </c>
      <c r="R264" s="79">
        <v>28</v>
      </c>
      <c r="S264" s="79">
        <f t="shared" si="4"/>
        <v>0</v>
      </c>
      <c r="T264" s="79" t="str">
        <f t="shared" si="5"/>
        <v>Yes</v>
      </c>
      <c r="U264" s="79">
        <v>88</v>
      </c>
      <c r="V264" s="79">
        <v>186</v>
      </c>
      <c r="W264" s="79">
        <v>150</v>
      </c>
      <c r="X264" s="79">
        <v>5</v>
      </c>
      <c r="Y264" s="79">
        <v>7</v>
      </c>
      <c r="Z264" s="81">
        <v>1052.21</v>
      </c>
      <c r="AA264" s="81">
        <v>995</v>
      </c>
      <c r="AB264" s="82">
        <v>0.97</v>
      </c>
    </row>
    <row r="265" spans="1:28" ht="15.75" customHeight="1" x14ac:dyDescent="0.3">
      <c r="A265" s="79" t="s">
        <v>446</v>
      </c>
      <c r="B265" s="80">
        <v>45513</v>
      </c>
      <c r="C265" s="79" t="s">
        <v>75</v>
      </c>
      <c r="D265" s="79" t="s">
        <v>76</v>
      </c>
      <c r="E265" s="79" t="s">
        <v>77</v>
      </c>
      <c r="F265" s="79" t="s">
        <v>55</v>
      </c>
      <c r="G265" s="79" t="s">
        <v>175</v>
      </c>
      <c r="H265" s="79" t="s">
        <v>176</v>
      </c>
      <c r="I265" s="79" t="s">
        <v>58</v>
      </c>
      <c r="J265" s="79" t="s">
        <v>59</v>
      </c>
      <c r="K265" s="79" t="s">
        <v>60</v>
      </c>
      <c r="L265" s="79" t="s">
        <v>61</v>
      </c>
      <c r="M265" s="79" t="s">
        <v>62</v>
      </c>
      <c r="N265" s="79">
        <v>548</v>
      </c>
      <c r="O265" s="81">
        <v>81.17</v>
      </c>
      <c r="P265" s="81">
        <f t="shared" si="3"/>
        <v>44481.16</v>
      </c>
      <c r="Q265" s="79">
        <v>10</v>
      </c>
      <c r="R265" s="79">
        <v>16</v>
      </c>
      <c r="S265" s="79">
        <f t="shared" si="4"/>
        <v>6</v>
      </c>
      <c r="T265" s="79" t="str">
        <f t="shared" si="5"/>
        <v>No</v>
      </c>
      <c r="U265" s="79">
        <v>299</v>
      </c>
      <c r="V265" s="79">
        <v>681</v>
      </c>
      <c r="W265" s="79">
        <v>620</v>
      </c>
      <c r="X265" s="79">
        <v>2</v>
      </c>
      <c r="Y265" s="79">
        <v>3</v>
      </c>
      <c r="Z265" s="81">
        <v>57.52</v>
      </c>
      <c r="AA265" s="81">
        <v>3804</v>
      </c>
      <c r="AB265" s="82">
        <v>0.73</v>
      </c>
    </row>
    <row r="266" spans="1:28" ht="15.75" customHeight="1" x14ac:dyDescent="0.3">
      <c r="A266" s="79" t="s">
        <v>447</v>
      </c>
      <c r="B266" s="80">
        <v>45516</v>
      </c>
      <c r="C266" s="79" t="s">
        <v>241</v>
      </c>
      <c r="D266" s="79" t="s">
        <v>242</v>
      </c>
      <c r="E266" s="79" t="s">
        <v>100</v>
      </c>
      <c r="F266" s="79" t="s">
        <v>44</v>
      </c>
      <c r="G266" s="79" t="s">
        <v>45</v>
      </c>
      <c r="H266" s="79" t="s">
        <v>46</v>
      </c>
      <c r="I266" s="79" t="s">
        <v>47</v>
      </c>
      <c r="J266" s="79" t="s">
        <v>48</v>
      </c>
      <c r="K266" s="79" t="s">
        <v>189</v>
      </c>
      <c r="L266" s="79" t="s">
        <v>190</v>
      </c>
      <c r="M266" s="79" t="s">
        <v>73</v>
      </c>
      <c r="N266" s="79">
        <v>665</v>
      </c>
      <c r="O266" s="81">
        <v>1506.64</v>
      </c>
      <c r="P266" s="81">
        <f t="shared" si="3"/>
        <v>1001915.6000000001</v>
      </c>
      <c r="Q266" s="79">
        <v>8</v>
      </c>
      <c r="R266" s="79">
        <v>12</v>
      </c>
      <c r="S266" s="79">
        <f t="shared" si="4"/>
        <v>4</v>
      </c>
      <c r="T266" s="79" t="str">
        <f t="shared" si="5"/>
        <v>No</v>
      </c>
      <c r="U266" s="79">
        <v>105</v>
      </c>
      <c r="V266" s="79">
        <v>970</v>
      </c>
      <c r="W266" s="79">
        <v>892</v>
      </c>
      <c r="X266" s="79">
        <v>5</v>
      </c>
      <c r="Y266" s="79">
        <v>7</v>
      </c>
      <c r="Z266" s="81">
        <v>1189.52</v>
      </c>
      <c r="AA266" s="81">
        <v>4269</v>
      </c>
      <c r="AB266" s="82">
        <v>0.93</v>
      </c>
    </row>
    <row r="267" spans="1:28" ht="15.75" customHeight="1" x14ac:dyDescent="0.3">
      <c r="A267" s="71" t="s">
        <v>448</v>
      </c>
      <c r="B267" s="72">
        <v>45516</v>
      </c>
      <c r="C267" s="71" t="s">
        <v>161</v>
      </c>
      <c r="D267" s="71" t="s">
        <v>162</v>
      </c>
      <c r="E267" s="71" t="s">
        <v>77</v>
      </c>
      <c r="F267" s="71" t="s">
        <v>113</v>
      </c>
      <c r="G267" s="71" t="s">
        <v>197</v>
      </c>
      <c r="H267" s="71" t="s">
        <v>198</v>
      </c>
      <c r="I267" s="71" t="s">
        <v>58</v>
      </c>
      <c r="J267" s="71" t="s">
        <v>59</v>
      </c>
      <c r="K267" s="71" t="s">
        <v>60</v>
      </c>
      <c r="L267" s="71" t="s">
        <v>61</v>
      </c>
      <c r="M267" s="71" t="s">
        <v>62</v>
      </c>
      <c r="N267" s="71">
        <v>484</v>
      </c>
      <c r="O267" s="73">
        <v>49.19</v>
      </c>
      <c r="P267" s="73">
        <f t="shared" si="3"/>
        <v>23807.96</v>
      </c>
      <c r="Q267" s="71">
        <v>23</v>
      </c>
      <c r="R267" s="71">
        <v>29</v>
      </c>
      <c r="S267" s="71">
        <f t="shared" si="4"/>
        <v>6</v>
      </c>
      <c r="T267" s="71" t="str">
        <f t="shared" si="5"/>
        <v>No</v>
      </c>
      <c r="U267" s="71">
        <v>637</v>
      </c>
      <c r="V267" s="71">
        <v>345</v>
      </c>
      <c r="W267" s="71">
        <v>281</v>
      </c>
      <c r="X267" s="71">
        <v>1.5</v>
      </c>
      <c r="Y267" s="71">
        <v>2</v>
      </c>
      <c r="Z267" s="73">
        <v>30.54</v>
      </c>
      <c r="AA267" s="73">
        <v>3907</v>
      </c>
      <c r="AB267" s="74">
        <v>0.96</v>
      </c>
    </row>
    <row r="268" spans="1:28" ht="15.75" customHeight="1" x14ac:dyDescent="0.3">
      <c r="A268" s="71" t="s">
        <v>449</v>
      </c>
      <c r="B268" s="72">
        <v>45529</v>
      </c>
      <c r="C268" s="71" t="s">
        <v>241</v>
      </c>
      <c r="D268" s="71" t="s">
        <v>242</v>
      </c>
      <c r="E268" s="71" t="s">
        <v>100</v>
      </c>
      <c r="F268" s="71" t="s">
        <v>55</v>
      </c>
      <c r="G268" s="71" t="s">
        <v>166</v>
      </c>
      <c r="H268" s="71" t="s">
        <v>167</v>
      </c>
      <c r="I268" s="71" t="s">
        <v>69</v>
      </c>
      <c r="J268" s="71" t="s">
        <v>103</v>
      </c>
      <c r="K268" s="71" t="s">
        <v>189</v>
      </c>
      <c r="L268" s="71" t="s">
        <v>190</v>
      </c>
      <c r="M268" s="71" t="s">
        <v>73</v>
      </c>
      <c r="N268" s="71">
        <v>71</v>
      </c>
      <c r="O268" s="73">
        <v>1578.61</v>
      </c>
      <c r="P268" s="73">
        <f t="shared" si="3"/>
        <v>112081.31</v>
      </c>
      <c r="Q268" s="71">
        <v>28</v>
      </c>
      <c r="R268" s="71">
        <v>27</v>
      </c>
      <c r="S268" s="71">
        <f t="shared" si="4"/>
        <v>0</v>
      </c>
      <c r="T268" s="71" t="str">
        <f t="shared" si="5"/>
        <v>Yes</v>
      </c>
      <c r="U268" s="71">
        <v>871</v>
      </c>
      <c r="V268" s="71">
        <v>74</v>
      </c>
      <c r="W268" s="71">
        <v>72</v>
      </c>
      <c r="X268" s="71">
        <v>5</v>
      </c>
      <c r="Y268" s="71">
        <v>7</v>
      </c>
      <c r="Z268" s="73">
        <v>972.8</v>
      </c>
      <c r="AA268" s="73">
        <v>2464</v>
      </c>
      <c r="AB268" s="74">
        <v>0.75</v>
      </c>
    </row>
    <row r="269" spans="1:28" ht="15.75" customHeight="1" x14ac:dyDescent="0.3">
      <c r="A269" s="71" t="s">
        <v>450</v>
      </c>
      <c r="B269" s="72">
        <v>45531</v>
      </c>
      <c r="C269" s="71" t="s">
        <v>206</v>
      </c>
      <c r="D269" s="71" t="s">
        <v>207</v>
      </c>
      <c r="E269" s="71" t="s">
        <v>127</v>
      </c>
      <c r="F269" s="71" t="s">
        <v>44</v>
      </c>
      <c r="G269" s="71" t="s">
        <v>67</v>
      </c>
      <c r="H269" s="71" t="s">
        <v>68</v>
      </c>
      <c r="I269" s="71" t="s">
        <v>69</v>
      </c>
      <c r="J269" s="71" t="s">
        <v>70</v>
      </c>
      <c r="K269" s="71" t="s">
        <v>91</v>
      </c>
      <c r="L269" s="71" t="s">
        <v>92</v>
      </c>
      <c r="M269" s="71" t="s">
        <v>51</v>
      </c>
      <c r="N269" s="71">
        <v>195</v>
      </c>
      <c r="O269" s="73">
        <v>1000.19</v>
      </c>
      <c r="P269" s="73">
        <f t="shared" si="3"/>
        <v>195037.05000000002</v>
      </c>
      <c r="Q269" s="71">
        <v>29</v>
      </c>
      <c r="R269" s="71">
        <v>32</v>
      </c>
      <c r="S269" s="71">
        <f t="shared" si="4"/>
        <v>3</v>
      </c>
      <c r="T269" s="71" t="str">
        <f t="shared" si="5"/>
        <v>No</v>
      </c>
      <c r="U269" s="71">
        <v>2524</v>
      </c>
      <c r="V269" s="71">
        <v>65</v>
      </c>
      <c r="W269" s="71">
        <v>83</v>
      </c>
      <c r="X269" s="71">
        <v>4</v>
      </c>
      <c r="Y269" s="71">
        <v>6</v>
      </c>
      <c r="Z269" s="73">
        <v>767.85</v>
      </c>
      <c r="AA269" s="73">
        <v>7805</v>
      </c>
      <c r="AB269" s="74">
        <v>0.74</v>
      </c>
    </row>
    <row r="270" spans="1:28" ht="15.75" customHeight="1" x14ac:dyDescent="0.3">
      <c r="A270" s="71" t="s">
        <v>451</v>
      </c>
      <c r="B270" s="72">
        <v>45531</v>
      </c>
      <c r="C270" s="71" t="s">
        <v>125</v>
      </c>
      <c r="D270" s="71" t="s">
        <v>126</v>
      </c>
      <c r="E270" s="71" t="s">
        <v>127</v>
      </c>
      <c r="F270" s="71" t="s">
        <v>128</v>
      </c>
      <c r="G270" s="71" t="s">
        <v>251</v>
      </c>
      <c r="H270" s="71" t="s">
        <v>252</v>
      </c>
      <c r="I270" s="71" t="s">
        <v>137</v>
      </c>
      <c r="J270" s="71" t="s">
        <v>138</v>
      </c>
      <c r="K270" s="71" t="s">
        <v>91</v>
      </c>
      <c r="L270" s="71" t="s">
        <v>92</v>
      </c>
      <c r="M270" s="71" t="s">
        <v>51</v>
      </c>
      <c r="N270" s="71">
        <v>112</v>
      </c>
      <c r="O270" s="73">
        <v>3300.76</v>
      </c>
      <c r="P270" s="73">
        <f t="shared" si="3"/>
        <v>369685.12</v>
      </c>
      <c r="Q270" s="71">
        <v>19</v>
      </c>
      <c r="R270" s="71">
        <v>17</v>
      </c>
      <c r="S270" s="71">
        <f t="shared" si="4"/>
        <v>0</v>
      </c>
      <c r="T270" s="71" t="str">
        <f t="shared" si="5"/>
        <v>Yes</v>
      </c>
      <c r="U270" s="71">
        <v>2979</v>
      </c>
      <c r="V270" s="71">
        <v>52</v>
      </c>
      <c r="W270" s="71">
        <v>73</v>
      </c>
      <c r="X270" s="71">
        <v>11</v>
      </c>
      <c r="Y270" s="71">
        <v>15</v>
      </c>
      <c r="Z270" s="73">
        <v>2620.7800000000002</v>
      </c>
      <c r="AA270" s="73">
        <v>1112</v>
      </c>
      <c r="AB270" s="74">
        <v>0.83</v>
      </c>
    </row>
    <row r="271" spans="1:28" ht="15.75" customHeight="1" x14ac:dyDescent="0.3">
      <c r="A271" s="79" t="s">
        <v>452</v>
      </c>
      <c r="B271" s="80">
        <v>45533</v>
      </c>
      <c r="C271" s="79" t="s">
        <v>221</v>
      </c>
      <c r="D271" s="79" t="s">
        <v>222</v>
      </c>
      <c r="E271" s="79" t="s">
        <v>77</v>
      </c>
      <c r="F271" s="79" t="s">
        <v>55</v>
      </c>
      <c r="G271" s="79" t="s">
        <v>251</v>
      </c>
      <c r="H271" s="79" t="s">
        <v>252</v>
      </c>
      <c r="I271" s="79" t="s">
        <v>137</v>
      </c>
      <c r="J271" s="79" t="s">
        <v>138</v>
      </c>
      <c r="K271" s="79" t="s">
        <v>81</v>
      </c>
      <c r="L271" s="79" t="s">
        <v>82</v>
      </c>
      <c r="M271" s="79" t="s">
        <v>83</v>
      </c>
      <c r="N271" s="79">
        <v>860</v>
      </c>
      <c r="O271" s="81">
        <v>31.74</v>
      </c>
      <c r="P271" s="81">
        <f t="shared" si="3"/>
        <v>27296.399999999998</v>
      </c>
      <c r="Q271" s="79">
        <v>13</v>
      </c>
      <c r="R271" s="79">
        <v>18</v>
      </c>
      <c r="S271" s="79">
        <f t="shared" si="4"/>
        <v>5</v>
      </c>
      <c r="T271" s="79" t="str">
        <f t="shared" si="5"/>
        <v>No</v>
      </c>
      <c r="U271" s="79">
        <v>1018</v>
      </c>
      <c r="V271" s="79">
        <v>1032</v>
      </c>
      <c r="W271" s="79">
        <v>1237</v>
      </c>
      <c r="X271" s="79">
        <v>1.2</v>
      </c>
      <c r="Y271" s="79">
        <v>2</v>
      </c>
      <c r="Z271" s="81">
        <v>23.29</v>
      </c>
      <c r="AA271" s="81">
        <v>3255</v>
      </c>
      <c r="AB271" s="82">
        <v>0.71</v>
      </c>
    </row>
    <row r="272" spans="1:28" ht="15.75" customHeight="1" x14ac:dyDescent="0.3">
      <c r="A272" s="71" t="s">
        <v>453</v>
      </c>
      <c r="B272" s="72">
        <v>45538</v>
      </c>
      <c r="C272" s="71" t="s">
        <v>161</v>
      </c>
      <c r="D272" s="71" t="s">
        <v>162</v>
      </c>
      <c r="E272" s="71" t="s">
        <v>77</v>
      </c>
      <c r="F272" s="71" t="s">
        <v>128</v>
      </c>
      <c r="G272" s="71" t="s">
        <v>149</v>
      </c>
      <c r="H272" s="71" t="s">
        <v>150</v>
      </c>
      <c r="I272" s="71" t="s">
        <v>58</v>
      </c>
      <c r="J272" s="71" t="s">
        <v>59</v>
      </c>
      <c r="K272" s="71" t="s">
        <v>60</v>
      </c>
      <c r="L272" s="71" t="s">
        <v>61</v>
      </c>
      <c r="M272" s="71" t="s">
        <v>62</v>
      </c>
      <c r="N272" s="71">
        <v>69</v>
      </c>
      <c r="O272" s="73">
        <v>49.6</v>
      </c>
      <c r="P272" s="73">
        <f t="shared" si="3"/>
        <v>3422.4</v>
      </c>
      <c r="Q272" s="71">
        <v>20</v>
      </c>
      <c r="R272" s="71">
        <v>26</v>
      </c>
      <c r="S272" s="71">
        <f t="shared" si="4"/>
        <v>6</v>
      </c>
      <c r="T272" s="71" t="str">
        <f t="shared" si="5"/>
        <v>No</v>
      </c>
      <c r="U272" s="71">
        <v>1484</v>
      </c>
      <c r="V272" s="71">
        <v>84</v>
      </c>
      <c r="W272" s="71">
        <v>125</v>
      </c>
      <c r="X272" s="71">
        <v>1.5</v>
      </c>
      <c r="Y272" s="71">
        <v>2</v>
      </c>
      <c r="Z272" s="73">
        <v>39.42</v>
      </c>
      <c r="AA272" s="73">
        <v>1320</v>
      </c>
      <c r="AB272" s="74">
        <v>0.77</v>
      </c>
    </row>
    <row r="273" spans="1:28" ht="15.75" customHeight="1" x14ac:dyDescent="0.3">
      <c r="A273" s="71" t="s">
        <v>454</v>
      </c>
      <c r="B273" s="72">
        <v>45538</v>
      </c>
      <c r="C273" s="71" t="s">
        <v>187</v>
      </c>
      <c r="D273" s="71" t="s">
        <v>188</v>
      </c>
      <c r="E273" s="71" t="s">
        <v>100</v>
      </c>
      <c r="F273" s="71" t="s">
        <v>55</v>
      </c>
      <c r="G273" s="71" t="s">
        <v>178</v>
      </c>
      <c r="H273" s="71" t="s">
        <v>179</v>
      </c>
      <c r="I273" s="71" t="s">
        <v>58</v>
      </c>
      <c r="J273" s="71" t="s">
        <v>59</v>
      </c>
      <c r="K273" s="71" t="s">
        <v>189</v>
      </c>
      <c r="L273" s="71" t="s">
        <v>190</v>
      </c>
      <c r="M273" s="71" t="s">
        <v>73</v>
      </c>
      <c r="N273" s="71">
        <v>629</v>
      </c>
      <c r="O273" s="73">
        <v>4231.71</v>
      </c>
      <c r="P273" s="73">
        <f t="shared" si="3"/>
        <v>2661745.59</v>
      </c>
      <c r="Q273" s="71">
        <v>30</v>
      </c>
      <c r="R273" s="71">
        <v>29</v>
      </c>
      <c r="S273" s="71">
        <f t="shared" si="4"/>
        <v>0</v>
      </c>
      <c r="T273" s="71" t="str">
        <f t="shared" si="5"/>
        <v>Yes</v>
      </c>
      <c r="U273" s="71">
        <v>2701</v>
      </c>
      <c r="V273" s="71">
        <v>680</v>
      </c>
      <c r="W273" s="71">
        <v>910</v>
      </c>
      <c r="X273" s="71">
        <v>12</v>
      </c>
      <c r="Y273" s="71">
        <v>18</v>
      </c>
      <c r="Z273" s="73">
        <v>3149.1</v>
      </c>
      <c r="AA273" s="73">
        <v>2261</v>
      </c>
      <c r="AB273" s="74">
        <v>0.82</v>
      </c>
    </row>
    <row r="274" spans="1:28" ht="15.75" customHeight="1" x14ac:dyDescent="0.3">
      <c r="A274" s="71" t="s">
        <v>455</v>
      </c>
      <c r="B274" s="72">
        <v>45539</v>
      </c>
      <c r="C274" s="71" t="s">
        <v>234</v>
      </c>
      <c r="D274" s="71" t="s">
        <v>235</v>
      </c>
      <c r="E274" s="71" t="s">
        <v>43</v>
      </c>
      <c r="F274" s="71" t="s">
        <v>55</v>
      </c>
      <c r="G274" s="71" t="s">
        <v>175</v>
      </c>
      <c r="H274" s="71" t="s">
        <v>176</v>
      </c>
      <c r="I274" s="71" t="s">
        <v>58</v>
      </c>
      <c r="J274" s="71" t="s">
        <v>59</v>
      </c>
      <c r="K274" s="71" t="s">
        <v>104</v>
      </c>
      <c r="L274" s="71" t="s">
        <v>105</v>
      </c>
      <c r="M274" s="71" t="s">
        <v>106</v>
      </c>
      <c r="N274" s="71">
        <v>106</v>
      </c>
      <c r="O274" s="73">
        <v>1247.3900000000001</v>
      </c>
      <c r="P274" s="73">
        <f t="shared" si="3"/>
        <v>132223.34</v>
      </c>
      <c r="Q274" s="71">
        <v>17</v>
      </c>
      <c r="R274" s="71">
        <v>19</v>
      </c>
      <c r="S274" s="71">
        <f t="shared" si="4"/>
        <v>2</v>
      </c>
      <c r="T274" s="71" t="str">
        <f t="shared" si="5"/>
        <v>No</v>
      </c>
      <c r="U274" s="71">
        <v>1052</v>
      </c>
      <c r="V274" s="71">
        <v>123</v>
      </c>
      <c r="W274" s="71">
        <v>154</v>
      </c>
      <c r="X274" s="71">
        <v>5</v>
      </c>
      <c r="Y274" s="71">
        <v>8</v>
      </c>
      <c r="Z274" s="73">
        <v>974.55</v>
      </c>
      <c r="AA274" s="73">
        <v>7653</v>
      </c>
      <c r="AB274" s="74">
        <v>0.74</v>
      </c>
    </row>
    <row r="275" spans="1:28" ht="15.75" customHeight="1" x14ac:dyDescent="0.3">
      <c r="A275" s="71" t="s">
        <v>456</v>
      </c>
      <c r="B275" s="72">
        <v>45543</v>
      </c>
      <c r="C275" s="71" t="s">
        <v>98</v>
      </c>
      <c r="D275" s="71" t="s">
        <v>99</v>
      </c>
      <c r="E275" s="71" t="s">
        <v>100</v>
      </c>
      <c r="F275" s="71" t="s">
        <v>44</v>
      </c>
      <c r="G275" s="71" t="s">
        <v>236</v>
      </c>
      <c r="H275" s="71" t="s">
        <v>237</v>
      </c>
      <c r="I275" s="71" t="s">
        <v>47</v>
      </c>
      <c r="J275" s="71" t="s">
        <v>48</v>
      </c>
      <c r="K275" s="71" t="s">
        <v>189</v>
      </c>
      <c r="L275" s="71" t="s">
        <v>190</v>
      </c>
      <c r="M275" s="71" t="s">
        <v>73</v>
      </c>
      <c r="N275" s="71">
        <v>675</v>
      </c>
      <c r="O275" s="73">
        <v>9140.32</v>
      </c>
      <c r="P275" s="73">
        <f t="shared" si="3"/>
        <v>6169716</v>
      </c>
      <c r="Q275" s="71">
        <v>18</v>
      </c>
      <c r="R275" s="71">
        <v>19</v>
      </c>
      <c r="S275" s="71">
        <f t="shared" si="4"/>
        <v>1</v>
      </c>
      <c r="T275" s="71" t="str">
        <f t="shared" si="5"/>
        <v>No</v>
      </c>
      <c r="U275" s="71">
        <v>1859</v>
      </c>
      <c r="V275" s="71">
        <v>679</v>
      </c>
      <c r="W275" s="71">
        <v>927</v>
      </c>
      <c r="X275" s="71">
        <v>18</v>
      </c>
      <c r="Y275" s="71">
        <v>25</v>
      </c>
      <c r="Z275" s="73">
        <v>5496.07</v>
      </c>
      <c r="AA275" s="73">
        <v>7101</v>
      </c>
      <c r="AB275" s="74">
        <v>0.74</v>
      </c>
    </row>
    <row r="276" spans="1:28" ht="15.75" customHeight="1" x14ac:dyDescent="0.3">
      <c r="A276" s="71" t="s">
        <v>457</v>
      </c>
      <c r="B276" s="72">
        <v>45550</v>
      </c>
      <c r="C276" s="71" t="s">
        <v>133</v>
      </c>
      <c r="D276" s="71" t="s">
        <v>134</v>
      </c>
      <c r="E276" s="71" t="s">
        <v>100</v>
      </c>
      <c r="F276" s="71" t="s">
        <v>44</v>
      </c>
      <c r="G276" s="71" t="s">
        <v>145</v>
      </c>
      <c r="H276" s="71" t="s">
        <v>146</v>
      </c>
      <c r="I276" s="71" t="s">
        <v>69</v>
      </c>
      <c r="J276" s="71" t="s">
        <v>70</v>
      </c>
      <c r="K276" s="71" t="s">
        <v>108</v>
      </c>
      <c r="L276" s="71" t="s">
        <v>109</v>
      </c>
      <c r="M276" s="71" t="s">
        <v>62</v>
      </c>
      <c r="N276" s="71">
        <v>177</v>
      </c>
      <c r="O276" s="73">
        <v>2132.69</v>
      </c>
      <c r="P276" s="73">
        <f t="shared" si="3"/>
        <v>377486.13</v>
      </c>
      <c r="Q276" s="71">
        <v>13</v>
      </c>
      <c r="R276" s="71">
        <v>21</v>
      </c>
      <c r="S276" s="71">
        <f t="shared" si="4"/>
        <v>8</v>
      </c>
      <c r="T276" s="71" t="str">
        <f t="shared" si="5"/>
        <v>No</v>
      </c>
      <c r="U276" s="71">
        <v>2838</v>
      </c>
      <c r="V276" s="71">
        <v>171</v>
      </c>
      <c r="W276" s="71">
        <v>218</v>
      </c>
      <c r="X276" s="71">
        <v>8</v>
      </c>
      <c r="Y276" s="71">
        <v>12</v>
      </c>
      <c r="Z276" s="73">
        <v>1639.12</v>
      </c>
      <c r="AA276" s="73">
        <v>6856</v>
      </c>
      <c r="AB276" s="74">
        <v>0.72</v>
      </c>
    </row>
    <row r="277" spans="1:28" ht="15.75" customHeight="1" x14ac:dyDescent="0.3">
      <c r="A277" s="71" t="s">
        <v>458</v>
      </c>
      <c r="B277" s="72">
        <v>45552</v>
      </c>
      <c r="C277" s="71" t="s">
        <v>120</v>
      </c>
      <c r="D277" s="71" t="s">
        <v>121</v>
      </c>
      <c r="E277" s="71" t="s">
        <v>43</v>
      </c>
      <c r="F277" s="71" t="s">
        <v>44</v>
      </c>
      <c r="G277" s="71" t="s">
        <v>152</v>
      </c>
      <c r="H277" s="71" t="s">
        <v>153</v>
      </c>
      <c r="I277" s="71" t="s">
        <v>58</v>
      </c>
      <c r="J277" s="71" t="s">
        <v>59</v>
      </c>
      <c r="K277" s="71" t="s">
        <v>104</v>
      </c>
      <c r="L277" s="71" t="s">
        <v>105</v>
      </c>
      <c r="M277" s="71" t="s">
        <v>106</v>
      </c>
      <c r="N277" s="71">
        <v>370</v>
      </c>
      <c r="O277" s="73">
        <v>2667.31</v>
      </c>
      <c r="P277" s="73">
        <f t="shared" si="3"/>
        <v>986904.7</v>
      </c>
      <c r="Q277" s="71">
        <v>24</v>
      </c>
      <c r="R277" s="71">
        <v>24</v>
      </c>
      <c r="S277" s="71">
        <f t="shared" si="4"/>
        <v>0</v>
      </c>
      <c r="T277" s="71" t="str">
        <f t="shared" si="5"/>
        <v>Yes</v>
      </c>
      <c r="U277" s="71">
        <v>2779</v>
      </c>
      <c r="V277" s="71">
        <v>424</v>
      </c>
      <c r="W277" s="71">
        <v>427</v>
      </c>
      <c r="X277" s="71">
        <v>6</v>
      </c>
      <c r="Y277" s="71">
        <v>9</v>
      </c>
      <c r="Z277" s="73">
        <v>1928.19</v>
      </c>
      <c r="AA277" s="73">
        <v>1194</v>
      </c>
      <c r="AB277" s="74">
        <v>0.89</v>
      </c>
    </row>
    <row r="278" spans="1:28" ht="15.75" customHeight="1" x14ac:dyDescent="0.3">
      <c r="A278" s="71" t="s">
        <v>459</v>
      </c>
      <c r="B278" s="72">
        <v>45556</v>
      </c>
      <c r="C278" s="71" t="s">
        <v>53</v>
      </c>
      <c r="D278" s="71" t="s">
        <v>54</v>
      </c>
      <c r="E278" s="71" t="s">
        <v>43</v>
      </c>
      <c r="F278" s="71" t="s">
        <v>66</v>
      </c>
      <c r="G278" s="71" t="s">
        <v>166</v>
      </c>
      <c r="H278" s="71" t="s">
        <v>167</v>
      </c>
      <c r="I278" s="71" t="s">
        <v>69</v>
      </c>
      <c r="J278" s="71" t="s">
        <v>103</v>
      </c>
      <c r="K278" s="71" t="s">
        <v>60</v>
      </c>
      <c r="L278" s="71" t="s">
        <v>61</v>
      </c>
      <c r="M278" s="71" t="s">
        <v>62</v>
      </c>
      <c r="N278" s="71">
        <v>201</v>
      </c>
      <c r="O278" s="73">
        <v>692.96</v>
      </c>
      <c r="P278" s="73">
        <f t="shared" si="3"/>
        <v>139284.96000000002</v>
      </c>
      <c r="Q278" s="71">
        <v>7</v>
      </c>
      <c r="R278" s="71">
        <v>13</v>
      </c>
      <c r="S278" s="71">
        <f t="shared" si="4"/>
        <v>6</v>
      </c>
      <c r="T278" s="71" t="str">
        <f t="shared" si="5"/>
        <v>No</v>
      </c>
      <c r="U278" s="71">
        <v>1497</v>
      </c>
      <c r="V278" s="71">
        <v>76</v>
      </c>
      <c r="W278" s="71">
        <v>88</v>
      </c>
      <c r="X278" s="71">
        <v>3.5</v>
      </c>
      <c r="Y278" s="71">
        <v>5</v>
      </c>
      <c r="Z278" s="73">
        <v>486.09</v>
      </c>
      <c r="AA278" s="73">
        <v>4658</v>
      </c>
      <c r="AB278" s="74">
        <v>0.86</v>
      </c>
    </row>
    <row r="279" spans="1:28" ht="15.75" customHeight="1" x14ac:dyDescent="0.3">
      <c r="A279" s="75" t="s">
        <v>460</v>
      </c>
      <c r="B279" s="76">
        <v>45557</v>
      </c>
      <c r="C279" s="75" t="s">
        <v>41</v>
      </c>
      <c r="D279" s="75" t="s">
        <v>42</v>
      </c>
      <c r="E279" s="75" t="s">
        <v>43</v>
      </c>
      <c r="F279" s="75" t="s">
        <v>55</v>
      </c>
      <c r="G279" s="75" t="s">
        <v>45</v>
      </c>
      <c r="H279" s="75" t="s">
        <v>46</v>
      </c>
      <c r="I279" s="75" t="s">
        <v>47</v>
      </c>
      <c r="J279" s="75" t="s">
        <v>48</v>
      </c>
      <c r="K279" s="75" t="s">
        <v>49</v>
      </c>
      <c r="L279" s="75" t="s">
        <v>50</v>
      </c>
      <c r="M279" s="75" t="s">
        <v>51</v>
      </c>
      <c r="N279" s="75">
        <v>863</v>
      </c>
      <c r="O279" s="77">
        <v>11251.27</v>
      </c>
      <c r="P279" s="77">
        <f t="shared" si="3"/>
        <v>9709846.0099999998</v>
      </c>
      <c r="Q279" s="75">
        <v>14</v>
      </c>
      <c r="R279" s="75">
        <v>15</v>
      </c>
      <c r="S279" s="75">
        <f t="shared" si="4"/>
        <v>1</v>
      </c>
      <c r="T279" s="75" t="str">
        <f t="shared" si="5"/>
        <v>No</v>
      </c>
      <c r="U279" s="75">
        <v>1780</v>
      </c>
      <c r="V279" s="75">
        <v>1072</v>
      </c>
      <c r="W279" s="75">
        <v>1312</v>
      </c>
      <c r="X279" s="75">
        <v>25</v>
      </c>
      <c r="Y279" s="75">
        <v>35</v>
      </c>
      <c r="Z279" s="77">
        <v>7475.9</v>
      </c>
      <c r="AA279" s="77">
        <v>4119</v>
      </c>
      <c r="AB279" s="78">
        <v>0.82</v>
      </c>
    </row>
    <row r="280" spans="1:28" ht="15.75" customHeight="1" x14ac:dyDescent="0.3">
      <c r="A280" s="79" t="s">
        <v>461</v>
      </c>
      <c r="B280" s="80">
        <v>45557</v>
      </c>
      <c r="C280" s="79" t="s">
        <v>241</v>
      </c>
      <c r="D280" s="79" t="s">
        <v>242</v>
      </c>
      <c r="E280" s="79" t="s">
        <v>100</v>
      </c>
      <c r="F280" s="79" t="s">
        <v>66</v>
      </c>
      <c r="G280" s="79" t="s">
        <v>251</v>
      </c>
      <c r="H280" s="79" t="s">
        <v>252</v>
      </c>
      <c r="I280" s="79" t="s">
        <v>137</v>
      </c>
      <c r="J280" s="79" t="s">
        <v>138</v>
      </c>
      <c r="K280" s="79" t="s">
        <v>108</v>
      </c>
      <c r="L280" s="79" t="s">
        <v>109</v>
      </c>
      <c r="M280" s="79" t="s">
        <v>62</v>
      </c>
      <c r="N280" s="79">
        <v>843</v>
      </c>
      <c r="O280" s="81">
        <v>1472.79</v>
      </c>
      <c r="P280" s="81">
        <f t="shared" si="3"/>
        <v>1241561.97</v>
      </c>
      <c r="Q280" s="79">
        <v>23</v>
      </c>
      <c r="R280" s="79">
        <v>26</v>
      </c>
      <c r="S280" s="79">
        <f t="shared" si="4"/>
        <v>3</v>
      </c>
      <c r="T280" s="79" t="str">
        <f t="shared" si="5"/>
        <v>No</v>
      </c>
      <c r="U280" s="79">
        <v>797</v>
      </c>
      <c r="V280" s="79">
        <v>1024</v>
      </c>
      <c r="W280" s="79">
        <v>1176</v>
      </c>
      <c r="X280" s="79">
        <v>5</v>
      </c>
      <c r="Y280" s="79">
        <v>7</v>
      </c>
      <c r="Z280" s="81">
        <v>1035.29</v>
      </c>
      <c r="AA280" s="81">
        <v>4585</v>
      </c>
      <c r="AB280" s="82">
        <v>0.95</v>
      </c>
    </row>
    <row r="281" spans="1:28" ht="15.75" customHeight="1" x14ac:dyDescent="0.3">
      <c r="A281" s="75" t="s">
        <v>462</v>
      </c>
      <c r="B281" s="76">
        <v>45564</v>
      </c>
      <c r="C281" s="75" t="s">
        <v>161</v>
      </c>
      <c r="D281" s="75" t="s">
        <v>162</v>
      </c>
      <c r="E281" s="75" t="s">
        <v>77</v>
      </c>
      <c r="F281" s="75" t="s">
        <v>113</v>
      </c>
      <c r="G281" s="75" t="s">
        <v>197</v>
      </c>
      <c r="H281" s="75" t="s">
        <v>198</v>
      </c>
      <c r="I281" s="75" t="s">
        <v>58</v>
      </c>
      <c r="J281" s="75" t="s">
        <v>59</v>
      </c>
      <c r="K281" s="75" t="s">
        <v>60</v>
      </c>
      <c r="L281" s="75" t="s">
        <v>61</v>
      </c>
      <c r="M281" s="75" t="s">
        <v>62</v>
      </c>
      <c r="N281" s="75">
        <v>801</v>
      </c>
      <c r="O281" s="77">
        <v>49.23</v>
      </c>
      <c r="P281" s="77">
        <f t="shared" si="3"/>
        <v>39433.229999999996</v>
      </c>
      <c r="Q281" s="75">
        <v>28</v>
      </c>
      <c r="R281" s="75">
        <v>34</v>
      </c>
      <c r="S281" s="75">
        <f t="shared" si="4"/>
        <v>6</v>
      </c>
      <c r="T281" s="75" t="str">
        <f t="shared" si="5"/>
        <v>No</v>
      </c>
      <c r="U281" s="75">
        <v>1024</v>
      </c>
      <c r="V281" s="75">
        <v>385</v>
      </c>
      <c r="W281" s="75">
        <v>559</v>
      </c>
      <c r="X281" s="75">
        <v>1.5</v>
      </c>
      <c r="Y281" s="75">
        <v>2</v>
      </c>
      <c r="Z281" s="77">
        <v>29.77</v>
      </c>
      <c r="AA281" s="77">
        <v>4936</v>
      </c>
      <c r="AB281" s="78">
        <v>0.8</v>
      </c>
    </row>
    <row r="282" spans="1:28" ht="15.75" customHeight="1" x14ac:dyDescent="0.3">
      <c r="A282" s="71" t="s">
        <v>463</v>
      </c>
      <c r="B282" s="72">
        <v>45569</v>
      </c>
      <c r="C282" s="71" t="s">
        <v>64</v>
      </c>
      <c r="D282" s="71" t="s">
        <v>65</v>
      </c>
      <c r="E282" s="71" t="s">
        <v>43</v>
      </c>
      <c r="F282" s="71" t="s">
        <v>113</v>
      </c>
      <c r="G282" s="71" t="s">
        <v>178</v>
      </c>
      <c r="H282" s="71" t="s">
        <v>179</v>
      </c>
      <c r="I282" s="71" t="s">
        <v>58</v>
      </c>
      <c r="J282" s="71" t="s">
        <v>59</v>
      </c>
      <c r="K282" s="71" t="s">
        <v>49</v>
      </c>
      <c r="L282" s="71" t="s">
        <v>50</v>
      </c>
      <c r="M282" s="71" t="s">
        <v>51</v>
      </c>
      <c r="N282" s="71">
        <v>378</v>
      </c>
      <c r="O282" s="73">
        <v>411.24</v>
      </c>
      <c r="P282" s="73">
        <f t="shared" si="3"/>
        <v>155448.72</v>
      </c>
      <c r="Q282" s="71">
        <v>23</v>
      </c>
      <c r="R282" s="71">
        <v>25</v>
      </c>
      <c r="S282" s="71">
        <f t="shared" si="4"/>
        <v>2</v>
      </c>
      <c r="T282" s="71" t="str">
        <f t="shared" si="5"/>
        <v>No</v>
      </c>
      <c r="U282" s="71">
        <v>664</v>
      </c>
      <c r="V282" s="71">
        <v>229</v>
      </c>
      <c r="W282" s="71">
        <v>199</v>
      </c>
      <c r="X282" s="71">
        <v>3</v>
      </c>
      <c r="Y282" s="71">
        <v>5</v>
      </c>
      <c r="Z282" s="73">
        <v>293.94</v>
      </c>
      <c r="AA282" s="73">
        <v>6421</v>
      </c>
      <c r="AB282" s="74">
        <v>0.73</v>
      </c>
    </row>
    <row r="283" spans="1:28" ht="15.75" customHeight="1" x14ac:dyDescent="0.3">
      <c r="A283" s="79" t="s">
        <v>464</v>
      </c>
      <c r="B283" s="80">
        <v>45574</v>
      </c>
      <c r="C283" s="79" t="s">
        <v>169</v>
      </c>
      <c r="D283" s="79" t="s">
        <v>170</v>
      </c>
      <c r="E283" s="79" t="s">
        <v>100</v>
      </c>
      <c r="F283" s="79" t="s">
        <v>66</v>
      </c>
      <c r="G283" s="79" t="s">
        <v>236</v>
      </c>
      <c r="H283" s="79" t="s">
        <v>237</v>
      </c>
      <c r="I283" s="79" t="s">
        <v>47</v>
      </c>
      <c r="J283" s="79" t="s">
        <v>48</v>
      </c>
      <c r="K283" s="79" t="s">
        <v>189</v>
      </c>
      <c r="L283" s="79" t="s">
        <v>190</v>
      </c>
      <c r="M283" s="79" t="s">
        <v>73</v>
      </c>
      <c r="N283" s="79">
        <v>741</v>
      </c>
      <c r="O283" s="81">
        <v>6613.99</v>
      </c>
      <c r="P283" s="81">
        <f t="shared" si="3"/>
        <v>4900966.59</v>
      </c>
      <c r="Q283" s="79">
        <v>16</v>
      </c>
      <c r="R283" s="79">
        <v>23</v>
      </c>
      <c r="S283" s="79">
        <f t="shared" si="4"/>
        <v>7</v>
      </c>
      <c r="T283" s="79" t="str">
        <f t="shared" si="5"/>
        <v>No</v>
      </c>
      <c r="U283" s="79">
        <v>748</v>
      </c>
      <c r="V283" s="79">
        <v>670</v>
      </c>
      <c r="W283" s="79">
        <v>861</v>
      </c>
      <c r="X283" s="79">
        <v>15</v>
      </c>
      <c r="Y283" s="79">
        <v>20</v>
      </c>
      <c r="Z283" s="81">
        <v>4394.84</v>
      </c>
      <c r="AA283" s="81">
        <v>1445</v>
      </c>
      <c r="AB283" s="82">
        <v>0.91</v>
      </c>
    </row>
    <row r="284" spans="1:28" ht="15.75" customHeight="1" x14ac:dyDescent="0.3">
      <c r="A284" s="79" t="s">
        <v>465</v>
      </c>
      <c r="B284" s="80">
        <v>45575</v>
      </c>
      <c r="C284" s="79" t="s">
        <v>41</v>
      </c>
      <c r="D284" s="79" t="s">
        <v>42</v>
      </c>
      <c r="E284" s="79" t="s">
        <v>43</v>
      </c>
      <c r="F284" s="79" t="s">
        <v>128</v>
      </c>
      <c r="G284" s="79" t="s">
        <v>56</v>
      </c>
      <c r="H284" s="79" t="s">
        <v>57</v>
      </c>
      <c r="I284" s="79" t="s">
        <v>58</v>
      </c>
      <c r="J284" s="79" t="s">
        <v>59</v>
      </c>
      <c r="K284" s="79" t="s">
        <v>60</v>
      </c>
      <c r="L284" s="79" t="s">
        <v>61</v>
      </c>
      <c r="M284" s="79" t="s">
        <v>62</v>
      </c>
      <c r="N284" s="79">
        <v>478</v>
      </c>
      <c r="O284" s="81">
        <v>13307.68</v>
      </c>
      <c r="P284" s="81">
        <f t="shared" si="3"/>
        <v>6361071.04</v>
      </c>
      <c r="Q284" s="79">
        <v>21</v>
      </c>
      <c r="R284" s="79">
        <v>25</v>
      </c>
      <c r="S284" s="79">
        <f t="shared" si="4"/>
        <v>4</v>
      </c>
      <c r="T284" s="79" t="str">
        <f t="shared" si="5"/>
        <v>No</v>
      </c>
      <c r="U284" s="79">
        <v>37</v>
      </c>
      <c r="V284" s="79">
        <v>447</v>
      </c>
      <c r="W284" s="79">
        <v>372</v>
      </c>
      <c r="X284" s="79">
        <v>25</v>
      </c>
      <c r="Y284" s="79">
        <v>35</v>
      </c>
      <c r="Z284" s="81">
        <v>10473.959999999999</v>
      </c>
      <c r="AA284" s="81">
        <v>7371</v>
      </c>
      <c r="AB284" s="82">
        <v>0.86</v>
      </c>
    </row>
    <row r="285" spans="1:28" ht="15.75" customHeight="1" x14ac:dyDescent="0.3">
      <c r="A285" s="71" t="s">
        <v>466</v>
      </c>
      <c r="B285" s="72">
        <v>45576</v>
      </c>
      <c r="C285" s="71" t="s">
        <v>41</v>
      </c>
      <c r="D285" s="71" t="s">
        <v>42</v>
      </c>
      <c r="E285" s="71" t="s">
        <v>43</v>
      </c>
      <c r="F285" s="71" t="s">
        <v>44</v>
      </c>
      <c r="G285" s="71" t="s">
        <v>192</v>
      </c>
      <c r="H285" s="71" t="s">
        <v>193</v>
      </c>
      <c r="I285" s="71" t="s">
        <v>137</v>
      </c>
      <c r="J285" s="71" t="s">
        <v>138</v>
      </c>
      <c r="K285" s="71" t="s">
        <v>108</v>
      </c>
      <c r="L285" s="71" t="s">
        <v>109</v>
      </c>
      <c r="M285" s="71" t="s">
        <v>62</v>
      </c>
      <c r="N285" s="71">
        <v>493</v>
      </c>
      <c r="O285" s="73">
        <v>14029.46</v>
      </c>
      <c r="P285" s="73">
        <f t="shared" si="3"/>
        <v>6916523.7799999993</v>
      </c>
      <c r="Q285" s="71">
        <v>21</v>
      </c>
      <c r="R285" s="71">
        <v>27</v>
      </c>
      <c r="S285" s="71">
        <f t="shared" si="4"/>
        <v>6</v>
      </c>
      <c r="T285" s="71" t="str">
        <f t="shared" si="5"/>
        <v>No</v>
      </c>
      <c r="U285" s="71">
        <v>1583</v>
      </c>
      <c r="V285" s="71">
        <v>461</v>
      </c>
      <c r="W285" s="71">
        <v>502</v>
      </c>
      <c r="X285" s="71">
        <v>25</v>
      </c>
      <c r="Y285" s="71">
        <v>35</v>
      </c>
      <c r="Z285" s="73">
        <v>10861.18</v>
      </c>
      <c r="AA285" s="73">
        <v>1735</v>
      </c>
      <c r="AB285" s="74">
        <v>0.74</v>
      </c>
    </row>
    <row r="286" spans="1:28" ht="15.75" customHeight="1" x14ac:dyDescent="0.3">
      <c r="A286" s="71" t="s">
        <v>467</v>
      </c>
      <c r="B286" s="72">
        <v>45581</v>
      </c>
      <c r="C286" s="71" t="s">
        <v>111</v>
      </c>
      <c r="D286" s="71" t="s">
        <v>112</v>
      </c>
      <c r="E286" s="71" t="s">
        <v>87</v>
      </c>
      <c r="F286" s="71" t="s">
        <v>128</v>
      </c>
      <c r="G286" s="71" t="s">
        <v>145</v>
      </c>
      <c r="H286" s="71" t="s">
        <v>146</v>
      </c>
      <c r="I286" s="71" t="s">
        <v>69</v>
      </c>
      <c r="J286" s="71" t="s">
        <v>70</v>
      </c>
      <c r="K286" s="71" t="s">
        <v>91</v>
      </c>
      <c r="L286" s="71" t="s">
        <v>92</v>
      </c>
      <c r="M286" s="71" t="s">
        <v>51</v>
      </c>
      <c r="N286" s="71">
        <v>260</v>
      </c>
      <c r="O286" s="73">
        <v>812.43</v>
      </c>
      <c r="P286" s="73">
        <f t="shared" si="3"/>
        <v>211231.8</v>
      </c>
      <c r="Q286" s="71">
        <v>28</v>
      </c>
      <c r="R286" s="71">
        <v>34</v>
      </c>
      <c r="S286" s="71">
        <f t="shared" si="4"/>
        <v>6</v>
      </c>
      <c r="T286" s="71" t="str">
        <f t="shared" si="5"/>
        <v>No</v>
      </c>
      <c r="U286" s="71">
        <v>2253</v>
      </c>
      <c r="V286" s="71">
        <v>105</v>
      </c>
      <c r="W286" s="71">
        <v>115</v>
      </c>
      <c r="X286" s="71">
        <v>4</v>
      </c>
      <c r="Y286" s="71">
        <v>6</v>
      </c>
      <c r="Z286" s="73">
        <v>492.3</v>
      </c>
      <c r="AA286" s="73">
        <v>2291</v>
      </c>
      <c r="AB286" s="74">
        <v>0.77</v>
      </c>
    </row>
    <row r="287" spans="1:28" ht="15.75" customHeight="1" x14ac:dyDescent="0.3">
      <c r="A287" s="71" t="s">
        <v>468</v>
      </c>
      <c r="B287" s="72">
        <v>45583</v>
      </c>
      <c r="C287" s="71" t="s">
        <v>75</v>
      </c>
      <c r="D287" s="71" t="s">
        <v>76</v>
      </c>
      <c r="E287" s="71" t="s">
        <v>77</v>
      </c>
      <c r="F287" s="71" t="s">
        <v>44</v>
      </c>
      <c r="G287" s="71" t="s">
        <v>217</v>
      </c>
      <c r="H287" s="71" t="s">
        <v>218</v>
      </c>
      <c r="I287" s="71" t="s">
        <v>137</v>
      </c>
      <c r="J287" s="71" t="s">
        <v>138</v>
      </c>
      <c r="K287" s="71" t="s">
        <v>81</v>
      </c>
      <c r="L287" s="71" t="s">
        <v>82</v>
      </c>
      <c r="M287" s="71" t="s">
        <v>83</v>
      </c>
      <c r="N287" s="71">
        <v>881</v>
      </c>
      <c r="O287" s="73">
        <v>87.21</v>
      </c>
      <c r="P287" s="73">
        <f t="shared" si="3"/>
        <v>76832.009999999995</v>
      </c>
      <c r="Q287" s="71">
        <v>13</v>
      </c>
      <c r="R287" s="71">
        <v>11</v>
      </c>
      <c r="S287" s="71">
        <f t="shared" si="4"/>
        <v>0</v>
      </c>
      <c r="T287" s="71" t="str">
        <f t="shared" si="5"/>
        <v>Yes</v>
      </c>
      <c r="U287" s="71">
        <v>1374</v>
      </c>
      <c r="V287" s="71">
        <v>436</v>
      </c>
      <c r="W287" s="71">
        <v>488</v>
      </c>
      <c r="X287" s="71">
        <v>2</v>
      </c>
      <c r="Y287" s="71">
        <v>3</v>
      </c>
      <c r="Z287" s="73">
        <v>56.82</v>
      </c>
      <c r="AA287" s="73">
        <v>2025</v>
      </c>
      <c r="AB287" s="74">
        <v>0.7</v>
      </c>
    </row>
    <row r="288" spans="1:28" ht="15.75" customHeight="1" x14ac:dyDescent="0.3">
      <c r="A288" s="75" t="s">
        <v>469</v>
      </c>
      <c r="B288" s="76">
        <v>45584</v>
      </c>
      <c r="C288" s="75" t="s">
        <v>75</v>
      </c>
      <c r="D288" s="75" t="s">
        <v>76</v>
      </c>
      <c r="E288" s="75" t="s">
        <v>77</v>
      </c>
      <c r="F288" s="75" t="s">
        <v>113</v>
      </c>
      <c r="G288" s="75" t="s">
        <v>130</v>
      </c>
      <c r="H288" s="75" t="s">
        <v>131</v>
      </c>
      <c r="I288" s="75" t="s">
        <v>69</v>
      </c>
      <c r="J288" s="75" t="s">
        <v>70</v>
      </c>
      <c r="K288" s="75" t="s">
        <v>60</v>
      </c>
      <c r="L288" s="75" t="s">
        <v>61</v>
      </c>
      <c r="M288" s="75" t="s">
        <v>62</v>
      </c>
      <c r="N288" s="75">
        <v>916</v>
      </c>
      <c r="O288" s="77">
        <v>84.61</v>
      </c>
      <c r="P288" s="77">
        <f t="shared" si="3"/>
        <v>77502.759999999995</v>
      </c>
      <c r="Q288" s="75">
        <v>10</v>
      </c>
      <c r="R288" s="75">
        <v>9</v>
      </c>
      <c r="S288" s="75">
        <f t="shared" si="4"/>
        <v>0</v>
      </c>
      <c r="T288" s="75" t="str">
        <f t="shared" si="5"/>
        <v>Yes</v>
      </c>
      <c r="U288" s="75">
        <v>1098</v>
      </c>
      <c r="V288" s="75">
        <v>758</v>
      </c>
      <c r="W288" s="75">
        <v>746</v>
      </c>
      <c r="X288" s="75">
        <v>2</v>
      </c>
      <c r="Y288" s="75">
        <v>3</v>
      </c>
      <c r="Z288" s="77">
        <v>64.930000000000007</v>
      </c>
      <c r="AA288" s="77">
        <v>5122</v>
      </c>
      <c r="AB288" s="78">
        <v>0.72</v>
      </c>
    </row>
    <row r="289" spans="1:28" ht="15.75" customHeight="1" x14ac:dyDescent="0.3">
      <c r="A289" s="71" t="s">
        <v>470</v>
      </c>
      <c r="B289" s="72">
        <v>45585</v>
      </c>
      <c r="C289" s="71" t="s">
        <v>120</v>
      </c>
      <c r="D289" s="71" t="s">
        <v>121</v>
      </c>
      <c r="E289" s="71" t="s">
        <v>43</v>
      </c>
      <c r="F289" s="71" t="s">
        <v>113</v>
      </c>
      <c r="G289" s="71" t="s">
        <v>122</v>
      </c>
      <c r="H289" s="71" t="s">
        <v>123</v>
      </c>
      <c r="I289" s="71" t="s">
        <v>69</v>
      </c>
      <c r="J289" s="71" t="s">
        <v>80</v>
      </c>
      <c r="K289" s="71" t="s">
        <v>71</v>
      </c>
      <c r="L289" s="71" t="s">
        <v>72</v>
      </c>
      <c r="M289" s="71" t="s">
        <v>73</v>
      </c>
      <c r="N289" s="71">
        <v>90</v>
      </c>
      <c r="O289" s="73">
        <v>2435.46</v>
      </c>
      <c r="P289" s="73">
        <f t="shared" si="3"/>
        <v>219191.4</v>
      </c>
      <c r="Q289" s="71">
        <v>30</v>
      </c>
      <c r="R289" s="71">
        <v>37</v>
      </c>
      <c r="S289" s="71">
        <f t="shared" si="4"/>
        <v>7</v>
      </c>
      <c r="T289" s="71" t="str">
        <f t="shared" si="5"/>
        <v>No</v>
      </c>
      <c r="U289" s="71">
        <v>380</v>
      </c>
      <c r="V289" s="71">
        <v>119</v>
      </c>
      <c r="W289" s="71">
        <v>132</v>
      </c>
      <c r="X289" s="71">
        <v>6</v>
      </c>
      <c r="Y289" s="71">
        <v>9</v>
      </c>
      <c r="Z289" s="73">
        <v>1519.1</v>
      </c>
      <c r="AA289" s="73">
        <v>4574</v>
      </c>
      <c r="AB289" s="74">
        <v>0.91</v>
      </c>
    </row>
    <row r="290" spans="1:28" ht="15.75" customHeight="1" x14ac:dyDescent="0.3">
      <c r="A290" s="71" t="s">
        <v>471</v>
      </c>
      <c r="B290" s="72">
        <v>45585</v>
      </c>
      <c r="C290" s="71" t="s">
        <v>241</v>
      </c>
      <c r="D290" s="71" t="s">
        <v>242</v>
      </c>
      <c r="E290" s="71" t="s">
        <v>100</v>
      </c>
      <c r="F290" s="71" t="s">
        <v>66</v>
      </c>
      <c r="G290" s="71" t="s">
        <v>251</v>
      </c>
      <c r="H290" s="71" t="s">
        <v>252</v>
      </c>
      <c r="I290" s="71" t="s">
        <v>137</v>
      </c>
      <c r="J290" s="71" t="s">
        <v>138</v>
      </c>
      <c r="K290" s="71" t="s">
        <v>104</v>
      </c>
      <c r="L290" s="71" t="s">
        <v>105</v>
      </c>
      <c r="M290" s="71" t="s">
        <v>106</v>
      </c>
      <c r="N290" s="71">
        <v>196</v>
      </c>
      <c r="O290" s="73">
        <v>1368.86</v>
      </c>
      <c r="P290" s="73">
        <f t="shared" si="3"/>
        <v>268296.56</v>
      </c>
      <c r="Q290" s="71">
        <v>17</v>
      </c>
      <c r="R290" s="71">
        <v>18</v>
      </c>
      <c r="S290" s="71">
        <f t="shared" si="4"/>
        <v>1</v>
      </c>
      <c r="T290" s="71" t="str">
        <f t="shared" si="5"/>
        <v>No</v>
      </c>
      <c r="U290" s="71">
        <v>1882</v>
      </c>
      <c r="V290" s="71">
        <v>135</v>
      </c>
      <c r="W290" s="71">
        <v>179</v>
      </c>
      <c r="X290" s="71">
        <v>5</v>
      </c>
      <c r="Y290" s="71">
        <v>7</v>
      </c>
      <c r="Z290" s="73">
        <v>925.11</v>
      </c>
      <c r="AA290" s="73">
        <v>6660</v>
      </c>
      <c r="AB290" s="74">
        <v>0.97</v>
      </c>
    </row>
    <row r="291" spans="1:28" ht="15.75" customHeight="1" x14ac:dyDescent="0.3">
      <c r="A291" s="75" t="s">
        <v>472</v>
      </c>
      <c r="B291" s="76">
        <v>45588</v>
      </c>
      <c r="C291" s="75" t="s">
        <v>133</v>
      </c>
      <c r="D291" s="75" t="s">
        <v>134</v>
      </c>
      <c r="E291" s="75" t="s">
        <v>100</v>
      </c>
      <c r="F291" s="75" t="s">
        <v>128</v>
      </c>
      <c r="G291" s="75" t="s">
        <v>212</v>
      </c>
      <c r="H291" s="75" t="s">
        <v>213</v>
      </c>
      <c r="I291" s="75" t="s">
        <v>214</v>
      </c>
      <c r="J291" s="75" t="s">
        <v>138</v>
      </c>
      <c r="K291" s="75" t="s">
        <v>189</v>
      </c>
      <c r="L291" s="75" t="s">
        <v>190</v>
      </c>
      <c r="M291" s="75" t="s">
        <v>73</v>
      </c>
      <c r="N291" s="75">
        <v>458</v>
      </c>
      <c r="O291" s="77">
        <v>2410.27</v>
      </c>
      <c r="P291" s="77">
        <f t="shared" si="3"/>
        <v>1103903.6599999999</v>
      </c>
      <c r="Q291" s="75">
        <v>21</v>
      </c>
      <c r="R291" s="75">
        <v>30</v>
      </c>
      <c r="S291" s="75">
        <f t="shared" si="4"/>
        <v>9</v>
      </c>
      <c r="T291" s="75" t="str">
        <f t="shared" si="5"/>
        <v>No</v>
      </c>
      <c r="U291" s="75">
        <v>670</v>
      </c>
      <c r="V291" s="75">
        <v>337</v>
      </c>
      <c r="W291" s="75">
        <v>486</v>
      </c>
      <c r="X291" s="75">
        <v>8</v>
      </c>
      <c r="Y291" s="75">
        <v>12</v>
      </c>
      <c r="Z291" s="77">
        <v>1632.92</v>
      </c>
      <c r="AA291" s="77">
        <v>6844</v>
      </c>
      <c r="AB291" s="78">
        <v>0.79</v>
      </c>
    </row>
    <row r="292" spans="1:28" ht="15.75" customHeight="1" x14ac:dyDescent="0.3">
      <c r="A292" s="71" t="s">
        <v>473</v>
      </c>
      <c r="B292" s="72">
        <v>45589</v>
      </c>
      <c r="C292" s="71" t="s">
        <v>181</v>
      </c>
      <c r="D292" s="71" t="s">
        <v>182</v>
      </c>
      <c r="E292" s="71" t="s">
        <v>127</v>
      </c>
      <c r="F292" s="71" t="s">
        <v>113</v>
      </c>
      <c r="G292" s="71" t="s">
        <v>114</v>
      </c>
      <c r="H292" s="71" t="s">
        <v>115</v>
      </c>
      <c r="I292" s="71" t="s">
        <v>58</v>
      </c>
      <c r="J292" s="71" t="s">
        <v>90</v>
      </c>
      <c r="K292" s="71" t="s">
        <v>49</v>
      </c>
      <c r="L292" s="71" t="s">
        <v>50</v>
      </c>
      <c r="M292" s="71" t="s">
        <v>51</v>
      </c>
      <c r="N292" s="71">
        <v>500</v>
      </c>
      <c r="O292" s="73">
        <v>1693.2</v>
      </c>
      <c r="P292" s="73">
        <f t="shared" si="3"/>
        <v>846600</v>
      </c>
      <c r="Q292" s="71">
        <v>13</v>
      </c>
      <c r="R292" s="71">
        <v>14</v>
      </c>
      <c r="S292" s="71">
        <f t="shared" si="4"/>
        <v>1</v>
      </c>
      <c r="T292" s="71" t="str">
        <f t="shared" si="5"/>
        <v>No</v>
      </c>
      <c r="U292" s="71">
        <v>1737</v>
      </c>
      <c r="V292" s="71">
        <v>269</v>
      </c>
      <c r="W292" s="71">
        <v>381</v>
      </c>
      <c r="X292" s="71">
        <v>7</v>
      </c>
      <c r="Y292" s="71">
        <v>10</v>
      </c>
      <c r="Z292" s="73">
        <v>1193.98</v>
      </c>
      <c r="AA292" s="73">
        <v>5667</v>
      </c>
      <c r="AB292" s="74">
        <v>0.98</v>
      </c>
    </row>
    <row r="293" spans="1:28" ht="15.75" customHeight="1" x14ac:dyDescent="0.3">
      <c r="A293" s="79" t="s">
        <v>474</v>
      </c>
      <c r="B293" s="80">
        <v>45591</v>
      </c>
      <c r="C293" s="79" t="s">
        <v>241</v>
      </c>
      <c r="D293" s="79" t="s">
        <v>242</v>
      </c>
      <c r="E293" s="79" t="s">
        <v>100</v>
      </c>
      <c r="F293" s="79" t="s">
        <v>128</v>
      </c>
      <c r="G293" s="79" t="s">
        <v>265</v>
      </c>
      <c r="H293" s="79" t="s">
        <v>266</v>
      </c>
      <c r="I293" s="79" t="s">
        <v>69</v>
      </c>
      <c r="J293" s="79" t="s">
        <v>70</v>
      </c>
      <c r="K293" s="79" t="s">
        <v>108</v>
      </c>
      <c r="L293" s="79" t="s">
        <v>109</v>
      </c>
      <c r="M293" s="79" t="s">
        <v>62</v>
      </c>
      <c r="N293" s="79">
        <v>978</v>
      </c>
      <c r="O293" s="81">
        <v>1363.95</v>
      </c>
      <c r="P293" s="81">
        <f t="shared" si="3"/>
        <v>1333943.1000000001</v>
      </c>
      <c r="Q293" s="79">
        <v>20</v>
      </c>
      <c r="R293" s="79">
        <v>17</v>
      </c>
      <c r="S293" s="79">
        <f t="shared" si="4"/>
        <v>0</v>
      </c>
      <c r="T293" s="79" t="str">
        <f t="shared" si="5"/>
        <v>Yes</v>
      </c>
      <c r="U293" s="79">
        <v>981</v>
      </c>
      <c r="V293" s="79">
        <v>1334</v>
      </c>
      <c r="W293" s="79">
        <v>1193</v>
      </c>
      <c r="X293" s="79">
        <v>5</v>
      </c>
      <c r="Y293" s="79">
        <v>7</v>
      </c>
      <c r="Z293" s="81">
        <v>942.12</v>
      </c>
      <c r="AA293" s="81">
        <v>5992</v>
      </c>
      <c r="AB293" s="82">
        <v>0.97</v>
      </c>
    </row>
    <row r="294" spans="1:28" ht="15.75" customHeight="1" x14ac:dyDescent="0.3">
      <c r="A294" s="71" t="s">
        <v>475</v>
      </c>
      <c r="B294" s="72">
        <v>45594</v>
      </c>
      <c r="C294" s="71" t="s">
        <v>117</v>
      </c>
      <c r="D294" s="71" t="s">
        <v>118</v>
      </c>
      <c r="E294" s="71" t="s">
        <v>87</v>
      </c>
      <c r="F294" s="71" t="s">
        <v>55</v>
      </c>
      <c r="G294" s="71" t="s">
        <v>130</v>
      </c>
      <c r="H294" s="71" t="s">
        <v>131</v>
      </c>
      <c r="I294" s="71" t="s">
        <v>69</v>
      </c>
      <c r="J294" s="71" t="s">
        <v>70</v>
      </c>
      <c r="K294" s="71" t="s">
        <v>91</v>
      </c>
      <c r="L294" s="71" t="s">
        <v>92</v>
      </c>
      <c r="M294" s="71" t="s">
        <v>51</v>
      </c>
      <c r="N294" s="71">
        <v>660</v>
      </c>
      <c r="O294" s="73">
        <v>2427.83</v>
      </c>
      <c r="P294" s="73">
        <f t="shared" si="3"/>
        <v>1602367.8</v>
      </c>
      <c r="Q294" s="71">
        <v>7</v>
      </c>
      <c r="R294" s="71">
        <v>11</v>
      </c>
      <c r="S294" s="71">
        <f t="shared" si="4"/>
        <v>4</v>
      </c>
      <c r="T294" s="71" t="str">
        <f t="shared" si="5"/>
        <v>No</v>
      </c>
      <c r="U294" s="71">
        <v>1692</v>
      </c>
      <c r="V294" s="71">
        <v>461</v>
      </c>
      <c r="W294" s="71">
        <v>585</v>
      </c>
      <c r="X294" s="71">
        <v>7</v>
      </c>
      <c r="Y294" s="71">
        <v>10</v>
      </c>
      <c r="Z294" s="73">
        <v>1873.19</v>
      </c>
      <c r="AA294" s="73">
        <v>3201</v>
      </c>
      <c r="AB294" s="74">
        <v>0.82</v>
      </c>
    </row>
    <row r="295" spans="1:28" ht="15.75" customHeight="1" x14ac:dyDescent="0.3">
      <c r="A295" s="71" t="s">
        <v>476</v>
      </c>
      <c r="B295" s="72">
        <v>45594</v>
      </c>
      <c r="C295" s="71" t="s">
        <v>181</v>
      </c>
      <c r="D295" s="71" t="s">
        <v>182</v>
      </c>
      <c r="E295" s="71" t="s">
        <v>127</v>
      </c>
      <c r="F295" s="71" t="s">
        <v>66</v>
      </c>
      <c r="G295" s="71" t="s">
        <v>265</v>
      </c>
      <c r="H295" s="71" t="s">
        <v>266</v>
      </c>
      <c r="I295" s="71" t="s">
        <v>69</v>
      </c>
      <c r="J295" s="71" t="s">
        <v>70</v>
      </c>
      <c r="K295" s="71" t="s">
        <v>49</v>
      </c>
      <c r="L295" s="71" t="s">
        <v>50</v>
      </c>
      <c r="M295" s="71" t="s">
        <v>51</v>
      </c>
      <c r="N295" s="71">
        <v>793</v>
      </c>
      <c r="O295" s="73">
        <v>1776.14</v>
      </c>
      <c r="P295" s="73">
        <f t="shared" si="3"/>
        <v>1408479.02</v>
      </c>
      <c r="Q295" s="71">
        <v>6</v>
      </c>
      <c r="R295" s="71">
        <v>12</v>
      </c>
      <c r="S295" s="71">
        <f t="shared" si="4"/>
        <v>6</v>
      </c>
      <c r="T295" s="71" t="str">
        <f t="shared" si="5"/>
        <v>No</v>
      </c>
      <c r="U295" s="71">
        <v>2725</v>
      </c>
      <c r="V295" s="71">
        <v>542</v>
      </c>
      <c r="W295" s="71">
        <v>486</v>
      </c>
      <c r="X295" s="71">
        <v>7</v>
      </c>
      <c r="Y295" s="71">
        <v>10</v>
      </c>
      <c r="Z295" s="73">
        <v>1074.73</v>
      </c>
      <c r="AA295" s="73">
        <v>4574</v>
      </c>
      <c r="AB295" s="74">
        <v>0.98</v>
      </c>
    </row>
    <row r="296" spans="1:28" ht="15.75" customHeight="1" x14ac:dyDescent="0.3">
      <c r="A296" s="71" t="s">
        <v>477</v>
      </c>
      <c r="B296" s="72">
        <v>45596</v>
      </c>
      <c r="C296" s="71" t="s">
        <v>133</v>
      </c>
      <c r="D296" s="71" t="s">
        <v>134</v>
      </c>
      <c r="E296" s="71" t="s">
        <v>100</v>
      </c>
      <c r="F296" s="71" t="s">
        <v>44</v>
      </c>
      <c r="G296" s="71" t="s">
        <v>149</v>
      </c>
      <c r="H296" s="71" t="s">
        <v>150</v>
      </c>
      <c r="I296" s="71" t="s">
        <v>58</v>
      </c>
      <c r="J296" s="71" t="s">
        <v>59</v>
      </c>
      <c r="K296" s="71" t="s">
        <v>104</v>
      </c>
      <c r="L296" s="71" t="s">
        <v>105</v>
      </c>
      <c r="M296" s="71" t="s">
        <v>106</v>
      </c>
      <c r="N296" s="71">
        <v>170</v>
      </c>
      <c r="O296" s="73">
        <v>1918.12</v>
      </c>
      <c r="P296" s="73">
        <f t="shared" si="3"/>
        <v>326080.39999999997</v>
      </c>
      <c r="Q296" s="71">
        <v>15</v>
      </c>
      <c r="R296" s="71">
        <v>15</v>
      </c>
      <c r="S296" s="71">
        <f t="shared" si="4"/>
        <v>0</v>
      </c>
      <c r="T296" s="71" t="str">
        <f t="shared" si="5"/>
        <v>Yes</v>
      </c>
      <c r="U296" s="71">
        <v>1696</v>
      </c>
      <c r="V296" s="71">
        <v>193</v>
      </c>
      <c r="W296" s="71">
        <v>251</v>
      </c>
      <c r="X296" s="71">
        <v>8</v>
      </c>
      <c r="Y296" s="71">
        <v>12</v>
      </c>
      <c r="Z296" s="73">
        <v>1430.91</v>
      </c>
      <c r="AA296" s="73">
        <v>2673</v>
      </c>
      <c r="AB296" s="74">
        <v>0.88</v>
      </c>
    </row>
    <row r="297" spans="1:28" ht="15.75" customHeight="1" x14ac:dyDescent="0.3">
      <c r="A297" s="71" t="s">
        <v>478</v>
      </c>
      <c r="B297" s="72">
        <v>45598</v>
      </c>
      <c r="C297" s="71" t="s">
        <v>241</v>
      </c>
      <c r="D297" s="71" t="s">
        <v>242</v>
      </c>
      <c r="E297" s="71" t="s">
        <v>100</v>
      </c>
      <c r="F297" s="71" t="s">
        <v>66</v>
      </c>
      <c r="G297" s="71" t="s">
        <v>88</v>
      </c>
      <c r="H297" s="71" t="s">
        <v>89</v>
      </c>
      <c r="I297" s="71" t="s">
        <v>58</v>
      </c>
      <c r="J297" s="71" t="s">
        <v>90</v>
      </c>
      <c r="K297" s="71" t="s">
        <v>108</v>
      </c>
      <c r="L297" s="71" t="s">
        <v>109</v>
      </c>
      <c r="M297" s="71" t="s">
        <v>62</v>
      </c>
      <c r="N297" s="71">
        <v>436</v>
      </c>
      <c r="O297" s="73">
        <v>1693.45</v>
      </c>
      <c r="P297" s="73">
        <f t="shared" si="3"/>
        <v>738344.20000000007</v>
      </c>
      <c r="Q297" s="71">
        <v>15</v>
      </c>
      <c r="R297" s="71">
        <v>14</v>
      </c>
      <c r="S297" s="71">
        <f t="shared" si="4"/>
        <v>0</v>
      </c>
      <c r="T297" s="71" t="str">
        <f t="shared" si="5"/>
        <v>Yes</v>
      </c>
      <c r="U297" s="71">
        <v>2361</v>
      </c>
      <c r="V297" s="71">
        <v>325</v>
      </c>
      <c r="W297" s="71">
        <v>374</v>
      </c>
      <c r="X297" s="71">
        <v>5</v>
      </c>
      <c r="Y297" s="71">
        <v>7</v>
      </c>
      <c r="Z297" s="73">
        <v>1321.54</v>
      </c>
      <c r="AA297" s="73">
        <v>1969</v>
      </c>
      <c r="AB297" s="74">
        <v>0.76</v>
      </c>
    </row>
    <row r="298" spans="1:28" ht="15.75" customHeight="1" x14ac:dyDescent="0.3">
      <c r="A298" s="79" t="s">
        <v>479</v>
      </c>
      <c r="B298" s="80">
        <v>45598</v>
      </c>
      <c r="C298" s="79" t="s">
        <v>221</v>
      </c>
      <c r="D298" s="79" t="s">
        <v>222</v>
      </c>
      <c r="E298" s="79" t="s">
        <v>77</v>
      </c>
      <c r="F298" s="79" t="s">
        <v>113</v>
      </c>
      <c r="G298" s="79" t="s">
        <v>236</v>
      </c>
      <c r="H298" s="79" t="s">
        <v>237</v>
      </c>
      <c r="I298" s="79" t="s">
        <v>47</v>
      </c>
      <c r="J298" s="79" t="s">
        <v>48</v>
      </c>
      <c r="K298" s="79" t="s">
        <v>81</v>
      </c>
      <c r="L298" s="79" t="s">
        <v>82</v>
      </c>
      <c r="M298" s="79" t="s">
        <v>83</v>
      </c>
      <c r="N298" s="79">
        <v>857</v>
      </c>
      <c r="O298" s="81">
        <v>28.97</v>
      </c>
      <c r="P298" s="81">
        <f t="shared" si="3"/>
        <v>24827.289999999997</v>
      </c>
      <c r="Q298" s="79">
        <v>22</v>
      </c>
      <c r="R298" s="79">
        <v>22</v>
      </c>
      <c r="S298" s="79">
        <f t="shared" si="4"/>
        <v>0</v>
      </c>
      <c r="T298" s="79" t="str">
        <f t="shared" si="5"/>
        <v>Yes</v>
      </c>
      <c r="U298" s="79">
        <v>467</v>
      </c>
      <c r="V298" s="79">
        <v>890</v>
      </c>
      <c r="W298" s="79">
        <v>1077</v>
      </c>
      <c r="X298" s="79">
        <v>1.2</v>
      </c>
      <c r="Y298" s="79">
        <v>2</v>
      </c>
      <c r="Z298" s="81">
        <v>18.79</v>
      </c>
      <c r="AA298" s="81">
        <v>5987</v>
      </c>
      <c r="AB298" s="82">
        <v>0.95</v>
      </c>
    </row>
    <row r="299" spans="1:28" ht="15.75" customHeight="1" x14ac:dyDescent="0.3">
      <c r="A299" s="71" t="s">
        <v>480</v>
      </c>
      <c r="B299" s="72">
        <v>45604</v>
      </c>
      <c r="C299" s="71" t="s">
        <v>75</v>
      </c>
      <c r="D299" s="71" t="s">
        <v>76</v>
      </c>
      <c r="E299" s="71" t="s">
        <v>77</v>
      </c>
      <c r="F299" s="71" t="s">
        <v>66</v>
      </c>
      <c r="G299" s="71" t="s">
        <v>140</v>
      </c>
      <c r="H299" s="71" t="s">
        <v>141</v>
      </c>
      <c r="I299" s="71" t="s">
        <v>58</v>
      </c>
      <c r="J299" s="71" t="s">
        <v>90</v>
      </c>
      <c r="K299" s="71" t="s">
        <v>60</v>
      </c>
      <c r="L299" s="71" t="s">
        <v>61</v>
      </c>
      <c r="M299" s="71" t="s">
        <v>62</v>
      </c>
      <c r="N299" s="71">
        <v>131</v>
      </c>
      <c r="O299" s="73">
        <v>80.290000000000006</v>
      </c>
      <c r="P299" s="73">
        <f t="shared" si="3"/>
        <v>10517.990000000002</v>
      </c>
      <c r="Q299" s="71">
        <v>22</v>
      </c>
      <c r="R299" s="71">
        <v>29</v>
      </c>
      <c r="S299" s="71">
        <f t="shared" si="4"/>
        <v>7</v>
      </c>
      <c r="T299" s="71" t="str">
        <f t="shared" si="5"/>
        <v>No</v>
      </c>
      <c r="U299" s="71">
        <v>541</v>
      </c>
      <c r="V299" s="71">
        <v>153</v>
      </c>
      <c r="W299" s="71">
        <v>146</v>
      </c>
      <c r="X299" s="71">
        <v>2</v>
      </c>
      <c r="Y299" s="71">
        <v>3</v>
      </c>
      <c r="Z299" s="73">
        <v>48.23</v>
      </c>
      <c r="AA299" s="73">
        <v>686</v>
      </c>
      <c r="AB299" s="74">
        <v>0.97</v>
      </c>
    </row>
    <row r="300" spans="1:28" ht="15.75" customHeight="1" x14ac:dyDescent="0.3">
      <c r="A300" s="75" t="s">
        <v>481</v>
      </c>
      <c r="B300" s="76">
        <v>45606</v>
      </c>
      <c r="C300" s="75" t="s">
        <v>111</v>
      </c>
      <c r="D300" s="75" t="s">
        <v>112</v>
      </c>
      <c r="E300" s="75" t="s">
        <v>87</v>
      </c>
      <c r="F300" s="75" t="s">
        <v>55</v>
      </c>
      <c r="G300" s="75" t="s">
        <v>158</v>
      </c>
      <c r="H300" s="75" t="s">
        <v>159</v>
      </c>
      <c r="I300" s="75" t="s">
        <v>69</v>
      </c>
      <c r="J300" s="75" t="s">
        <v>70</v>
      </c>
      <c r="K300" s="75" t="s">
        <v>91</v>
      </c>
      <c r="L300" s="75" t="s">
        <v>92</v>
      </c>
      <c r="M300" s="75" t="s">
        <v>51</v>
      </c>
      <c r="N300" s="75">
        <v>692</v>
      </c>
      <c r="O300" s="77">
        <v>851.78</v>
      </c>
      <c r="P300" s="77">
        <f t="shared" si="3"/>
        <v>589431.76</v>
      </c>
      <c r="Q300" s="75">
        <v>17</v>
      </c>
      <c r="R300" s="75">
        <v>23</v>
      </c>
      <c r="S300" s="75">
        <f t="shared" si="4"/>
        <v>6</v>
      </c>
      <c r="T300" s="75" t="str">
        <f t="shared" si="5"/>
        <v>No</v>
      </c>
      <c r="U300" s="75">
        <v>541</v>
      </c>
      <c r="V300" s="75">
        <v>366</v>
      </c>
      <c r="W300" s="75">
        <v>463</v>
      </c>
      <c r="X300" s="75">
        <v>4</v>
      </c>
      <c r="Y300" s="75">
        <v>6</v>
      </c>
      <c r="Z300" s="77">
        <v>575.66</v>
      </c>
      <c r="AA300" s="77">
        <v>6628</v>
      </c>
      <c r="AB300" s="78">
        <v>0.95</v>
      </c>
    </row>
    <row r="301" spans="1:28" ht="15.75" customHeight="1" x14ac:dyDescent="0.3">
      <c r="A301" s="71" t="s">
        <v>482</v>
      </c>
      <c r="B301" s="72">
        <v>45610</v>
      </c>
      <c r="C301" s="71" t="s">
        <v>111</v>
      </c>
      <c r="D301" s="71" t="s">
        <v>112</v>
      </c>
      <c r="E301" s="71" t="s">
        <v>87</v>
      </c>
      <c r="F301" s="71" t="s">
        <v>113</v>
      </c>
      <c r="G301" s="71" t="s">
        <v>311</v>
      </c>
      <c r="H301" s="71" t="s">
        <v>312</v>
      </c>
      <c r="I301" s="71" t="s">
        <v>58</v>
      </c>
      <c r="J301" s="71" t="s">
        <v>96</v>
      </c>
      <c r="K301" s="71" t="s">
        <v>81</v>
      </c>
      <c r="L301" s="71" t="s">
        <v>82</v>
      </c>
      <c r="M301" s="71" t="s">
        <v>83</v>
      </c>
      <c r="N301" s="71">
        <v>425</v>
      </c>
      <c r="O301" s="73">
        <v>910.79</v>
      </c>
      <c r="P301" s="73">
        <f t="shared" si="3"/>
        <v>387085.75</v>
      </c>
      <c r="Q301" s="71">
        <v>27</v>
      </c>
      <c r="R301" s="71">
        <v>26</v>
      </c>
      <c r="S301" s="71">
        <f t="shared" si="4"/>
        <v>0</v>
      </c>
      <c r="T301" s="71" t="str">
        <f t="shared" si="5"/>
        <v>Yes</v>
      </c>
      <c r="U301" s="71">
        <v>2636</v>
      </c>
      <c r="V301" s="71">
        <v>594</v>
      </c>
      <c r="W301" s="71">
        <v>597</v>
      </c>
      <c r="X301" s="71">
        <v>4</v>
      </c>
      <c r="Y301" s="71">
        <v>6</v>
      </c>
      <c r="Z301" s="73">
        <v>658.43</v>
      </c>
      <c r="AA301" s="73">
        <v>2295</v>
      </c>
      <c r="AB301" s="74">
        <v>0.97</v>
      </c>
    </row>
    <row r="302" spans="1:28" ht="15.75" customHeight="1" x14ac:dyDescent="0.3">
      <c r="A302" s="79" t="s">
        <v>483</v>
      </c>
      <c r="B302" s="80">
        <v>45611</v>
      </c>
      <c r="C302" s="79" t="s">
        <v>53</v>
      </c>
      <c r="D302" s="79" t="s">
        <v>54</v>
      </c>
      <c r="E302" s="79" t="s">
        <v>43</v>
      </c>
      <c r="F302" s="79" t="s">
        <v>113</v>
      </c>
      <c r="G302" s="79" t="s">
        <v>212</v>
      </c>
      <c r="H302" s="79" t="s">
        <v>213</v>
      </c>
      <c r="I302" s="79" t="s">
        <v>214</v>
      </c>
      <c r="J302" s="79" t="s">
        <v>138</v>
      </c>
      <c r="K302" s="79" t="s">
        <v>49</v>
      </c>
      <c r="L302" s="79" t="s">
        <v>50</v>
      </c>
      <c r="M302" s="79" t="s">
        <v>51</v>
      </c>
      <c r="N302" s="79">
        <v>950</v>
      </c>
      <c r="O302" s="81">
        <v>685.93</v>
      </c>
      <c r="P302" s="81">
        <f t="shared" si="3"/>
        <v>651633.5</v>
      </c>
      <c r="Q302" s="79">
        <v>6</v>
      </c>
      <c r="R302" s="79">
        <v>10</v>
      </c>
      <c r="S302" s="79">
        <f t="shared" si="4"/>
        <v>4</v>
      </c>
      <c r="T302" s="79" t="str">
        <f t="shared" si="5"/>
        <v>No</v>
      </c>
      <c r="U302" s="79">
        <v>484</v>
      </c>
      <c r="V302" s="79">
        <v>724</v>
      </c>
      <c r="W302" s="79">
        <v>852</v>
      </c>
      <c r="X302" s="79">
        <v>3.5</v>
      </c>
      <c r="Y302" s="79">
        <v>5</v>
      </c>
      <c r="Z302" s="81">
        <v>450.36</v>
      </c>
      <c r="AA302" s="81">
        <v>7965</v>
      </c>
      <c r="AB302" s="82">
        <v>0.84</v>
      </c>
    </row>
    <row r="303" spans="1:28" ht="15.75" customHeight="1" x14ac:dyDescent="0.3">
      <c r="A303" s="71" t="s">
        <v>484</v>
      </c>
      <c r="B303" s="72">
        <v>45614</v>
      </c>
      <c r="C303" s="71" t="s">
        <v>64</v>
      </c>
      <c r="D303" s="71" t="s">
        <v>65</v>
      </c>
      <c r="E303" s="71" t="s">
        <v>43</v>
      </c>
      <c r="F303" s="71" t="s">
        <v>128</v>
      </c>
      <c r="G303" s="71" t="s">
        <v>122</v>
      </c>
      <c r="H303" s="71" t="s">
        <v>123</v>
      </c>
      <c r="I303" s="71" t="s">
        <v>69</v>
      </c>
      <c r="J303" s="71" t="s">
        <v>80</v>
      </c>
      <c r="K303" s="71" t="s">
        <v>49</v>
      </c>
      <c r="L303" s="71" t="s">
        <v>50</v>
      </c>
      <c r="M303" s="71" t="s">
        <v>51</v>
      </c>
      <c r="N303" s="71">
        <v>695</v>
      </c>
      <c r="O303" s="73">
        <v>460.59</v>
      </c>
      <c r="P303" s="73">
        <f t="shared" si="3"/>
        <v>320110.05</v>
      </c>
      <c r="Q303" s="71">
        <v>7</v>
      </c>
      <c r="R303" s="71">
        <v>8</v>
      </c>
      <c r="S303" s="71">
        <f t="shared" si="4"/>
        <v>1</v>
      </c>
      <c r="T303" s="71" t="str">
        <f t="shared" si="5"/>
        <v>No</v>
      </c>
      <c r="U303" s="71">
        <v>2983</v>
      </c>
      <c r="V303" s="71">
        <v>811</v>
      </c>
      <c r="W303" s="71">
        <v>1162</v>
      </c>
      <c r="X303" s="71">
        <v>3</v>
      </c>
      <c r="Y303" s="71">
        <v>5</v>
      </c>
      <c r="Z303" s="73">
        <v>335.71</v>
      </c>
      <c r="AA303" s="73">
        <v>4241</v>
      </c>
      <c r="AB303" s="74">
        <v>0.98</v>
      </c>
    </row>
    <row r="304" spans="1:28" ht="15.75" customHeight="1" x14ac:dyDescent="0.3">
      <c r="A304" s="79" t="s">
        <v>485</v>
      </c>
      <c r="B304" s="80">
        <v>45614</v>
      </c>
      <c r="C304" s="79" t="s">
        <v>53</v>
      </c>
      <c r="D304" s="79" t="s">
        <v>54</v>
      </c>
      <c r="E304" s="79" t="s">
        <v>43</v>
      </c>
      <c r="F304" s="79" t="s">
        <v>44</v>
      </c>
      <c r="G304" s="79" t="s">
        <v>311</v>
      </c>
      <c r="H304" s="79" t="s">
        <v>312</v>
      </c>
      <c r="I304" s="79" t="s">
        <v>58</v>
      </c>
      <c r="J304" s="79" t="s">
        <v>96</v>
      </c>
      <c r="K304" s="79" t="s">
        <v>71</v>
      </c>
      <c r="L304" s="79" t="s">
        <v>72</v>
      </c>
      <c r="M304" s="79" t="s">
        <v>73</v>
      </c>
      <c r="N304" s="79">
        <v>870</v>
      </c>
      <c r="O304" s="81">
        <v>691.86</v>
      </c>
      <c r="P304" s="81">
        <f t="shared" si="3"/>
        <v>601918.20000000007</v>
      </c>
      <c r="Q304" s="79">
        <v>22</v>
      </c>
      <c r="R304" s="79">
        <v>23</v>
      </c>
      <c r="S304" s="79">
        <f t="shared" si="4"/>
        <v>1</v>
      </c>
      <c r="T304" s="79" t="str">
        <f t="shared" si="5"/>
        <v>No</v>
      </c>
      <c r="U304" s="79">
        <v>419</v>
      </c>
      <c r="V304" s="79">
        <v>752</v>
      </c>
      <c r="W304" s="79">
        <v>991</v>
      </c>
      <c r="X304" s="79">
        <v>3.5</v>
      </c>
      <c r="Y304" s="79">
        <v>5</v>
      </c>
      <c r="Z304" s="81">
        <v>515.46</v>
      </c>
      <c r="AA304" s="81">
        <v>5079</v>
      </c>
      <c r="AB304" s="82">
        <v>0.91</v>
      </c>
    </row>
    <row r="305" spans="1:28" ht="15.75" customHeight="1" x14ac:dyDescent="0.3">
      <c r="A305" s="71" t="s">
        <v>486</v>
      </c>
      <c r="B305" s="72">
        <v>45617</v>
      </c>
      <c r="C305" s="71" t="s">
        <v>64</v>
      </c>
      <c r="D305" s="71" t="s">
        <v>65</v>
      </c>
      <c r="E305" s="71" t="s">
        <v>43</v>
      </c>
      <c r="F305" s="71" t="s">
        <v>55</v>
      </c>
      <c r="G305" s="71" t="s">
        <v>178</v>
      </c>
      <c r="H305" s="71" t="s">
        <v>179</v>
      </c>
      <c r="I305" s="71" t="s">
        <v>58</v>
      </c>
      <c r="J305" s="71" t="s">
        <v>59</v>
      </c>
      <c r="K305" s="71" t="s">
        <v>60</v>
      </c>
      <c r="L305" s="71" t="s">
        <v>61</v>
      </c>
      <c r="M305" s="71" t="s">
        <v>62</v>
      </c>
      <c r="N305" s="71">
        <v>507</v>
      </c>
      <c r="O305" s="73">
        <v>473.3</v>
      </c>
      <c r="P305" s="73">
        <f t="shared" si="3"/>
        <v>239963.1</v>
      </c>
      <c r="Q305" s="71">
        <v>18</v>
      </c>
      <c r="R305" s="71">
        <v>19</v>
      </c>
      <c r="S305" s="71">
        <f t="shared" si="4"/>
        <v>1</v>
      </c>
      <c r="T305" s="71" t="str">
        <f t="shared" si="5"/>
        <v>No</v>
      </c>
      <c r="U305" s="71">
        <v>2118</v>
      </c>
      <c r="V305" s="71">
        <v>221</v>
      </c>
      <c r="W305" s="71">
        <v>243</v>
      </c>
      <c r="X305" s="71">
        <v>3</v>
      </c>
      <c r="Y305" s="71">
        <v>5</v>
      </c>
      <c r="Z305" s="73">
        <v>310.79000000000002</v>
      </c>
      <c r="AA305" s="73">
        <v>6058</v>
      </c>
      <c r="AB305" s="74">
        <v>0.87</v>
      </c>
    </row>
    <row r="306" spans="1:28" ht="15.75" customHeight="1" x14ac:dyDescent="0.3">
      <c r="A306" s="71" t="s">
        <v>487</v>
      </c>
      <c r="B306" s="72">
        <v>45619</v>
      </c>
      <c r="C306" s="71" t="s">
        <v>120</v>
      </c>
      <c r="D306" s="71" t="s">
        <v>121</v>
      </c>
      <c r="E306" s="71" t="s">
        <v>43</v>
      </c>
      <c r="F306" s="71" t="s">
        <v>44</v>
      </c>
      <c r="G306" s="71" t="s">
        <v>197</v>
      </c>
      <c r="H306" s="71" t="s">
        <v>198</v>
      </c>
      <c r="I306" s="71" t="s">
        <v>58</v>
      </c>
      <c r="J306" s="71" t="s">
        <v>59</v>
      </c>
      <c r="K306" s="71" t="s">
        <v>108</v>
      </c>
      <c r="L306" s="71" t="s">
        <v>109</v>
      </c>
      <c r="M306" s="71" t="s">
        <v>62</v>
      </c>
      <c r="N306" s="71">
        <v>819</v>
      </c>
      <c r="O306" s="73">
        <v>2396.7399999999998</v>
      </c>
      <c r="P306" s="73">
        <f t="shared" si="3"/>
        <v>1962930.0599999998</v>
      </c>
      <c r="Q306" s="71">
        <v>13</v>
      </c>
      <c r="R306" s="71">
        <v>14</v>
      </c>
      <c r="S306" s="71">
        <f t="shared" si="4"/>
        <v>1</v>
      </c>
      <c r="T306" s="71" t="str">
        <f t="shared" si="5"/>
        <v>No</v>
      </c>
      <c r="U306" s="71">
        <v>1882</v>
      </c>
      <c r="V306" s="71">
        <v>607</v>
      </c>
      <c r="W306" s="71">
        <v>803</v>
      </c>
      <c r="X306" s="71">
        <v>6</v>
      </c>
      <c r="Y306" s="71">
        <v>9</v>
      </c>
      <c r="Z306" s="73">
        <v>1563.71</v>
      </c>
      <c r="AA306" s="73">
        <v>3621</v>
      </c>
      <c r="AB306" s="74">
        <v>0.93</v>
      </c>
    </row>
    <row r="307" spans="1:28" ht="15.75" customHeight="1" x14ac:dyDescent="0.3">
      <c r="A307" s="71" t="s">
        <v>488</v>
      </c>
      <c r="B307" s="72">
        <v>45622</v>
      </c>
      <c r="C307" s="71" t="s">
        <v>111</v>
      </c>
      <c r="D307" s="71" t="s">
        <v>112</v>
      </c>
      <c r="E307" s="71" t="s">
        <v>87</v>
      </c>
      <c r="F307" s="71" t="s">
        <v>66</v>
      </c>
      <c r="G307" s="71" t="s">
        <v>56</v>
      </c>
      <c r="H307" s="71" t="s">
        <v>57</v>
      </c>
      <c r="I307" s="71" t="s">
        <v>58</v>
      </c>
      <c r="J307" s="71" t="s">
        <v>59</v>
      </c>
      <c r="K307" s="71" t="s">
        <v>91</v>
      </c>
      <c r="L307" s="71" t="s">
        <v>92</v>
      </c>
      <c r="M307" s="71" t="s">
        <v>51</v>
      </c>
      <c r="N307" s="71">
        <v>950</v>
      </c>
      <c r="O307" s="73">
        <v>777.6</v>
      </c>
      <c r="P307" s="73">
        <f t="shared" si="3"/>
        <v>738720</v>
      </c>
      <c r="Q307" s="71">
        <v>13</v>
      </c>
      <c r="R307" s="71">
        <v>12</v>
      </c>
      <c r="S307" s="71">
        <f t="shared" si="4"/>
        <v>0</v>
      </c>
      <c r="T307" s="71" t="str">
        <f t="shared" si="5"/>
        <v>Yes</v>
      </c>
      <c r="U307" s="71">
        <v>1042</v>
      </c>
      <c r="V307" s="71">
        <v>451</v>
      </c>
      <c r="W307" s="71">
        <v>462</v>
      </c>
      <c r="X307" s="71">
        <v>4</v>
      </c>
      <c r="Y307" s="71">
        <v>6</v>
      </c>
      <c r="Z307" s="73">
        <v>505.06</v>
      </c>
      <c r="AA307" s="73">
        <v>7410</v>
      </c>
      <c r="AB307" s="74">
        <v>0.89</v>
      </c>
    </row>
    <row r="308" spans="1:28" ht="15.75" customHeight="1" x14ac:dyDescent="0.3">
      <c r="A308" s="71" t="s">
        <v>489</v>
      </c>
      <c r="B308" s="72">
        <v>45624</v>
      </c>
      <c r="C308" s="71" t="s">
        <v>85</v>
      </c>
      <c r="D308" s="71" t="s">
        <v>86</v>
      </c>
      <c r="E308" s="71" t="s">
        <v>87</v>
      </c>
      <c r="F308" s="71" t="s">
        <v>128</v>
      </c>
      <c r="G308" s="71" t="s">
        <v>149</v>
      </c>
      <c r="H308" s="71" t="s">
        <v>150</v>
      </c>
      <c r="I308" s="71" t="s">
        <v>58</v>
      </c>
      <c r="J308" s="71" t="s">
        <v>59</v>
      </c>
      <c r="K308" s="71" t="s">
        <v>81</v>
      </c>
      <c r="L308" s="71" t="s">
        <v>82</v>
      </c>
      <c r="M308" s="71" t="s">
        <v>83</v>
      </c>
      <c r="N308" s="71">
        <v>326</v>
      </c>
      <c r="O308" s="73">
        <v>351.09</v>
      </c>
      <c r="P308" s="73">
        <f t="shared" si="3"/>
        <v>114455.34</v>
      </c>
      <c r="Q308" s="71">
        <v>6</v>
      </c>
      <c r="R308" s="71">
        <v>11</v>
      </c>
      <c r="S308" s="71">
        <f t="shared" si="4"/>
        <v>5</v>
      </c>
      <c r="T308" s="71" t="str">
        <f t="shared" si="5"/>
        <v>No</v>
      </c>
      <c r="U308" s="71">
        <v>558</v>
      </c>
      <c r="V308" s="71">
        <v>133</v>
      </c>
      <c r="W308" s="71">
        <v>133</v>
      </c>
      <c r="X308" s="71">
        <v>2</v>
      </c>
      <c r="Y308" s="71">
        <v>4</v>
      </c>
      <c r="Z308" s="73">
        <v>263.14</v>
      </c>
      <c r="AA308" s="73">
        <v>1938</v>
      </c>
      <c r="AB308" s="74">
        <v>0.76</v>
      </c>
    </row>
    <row r="309" spans="1:28" ht="15.75" customHeight="1" x14ac:dyDescent="0.3">
      <c r="A309" s="75" t="s">
        <v>490</v>
      </c>
      <c r="B309" s="76">
        <v>45625</v>
      </c>
      <c r="C309" s="75" t="s">
        <v>98</v>
      </c>
      <c r="D309" s="75" t="s">
        <v>99</v>
      </c>
      <c r="E309" s="75" t="s">
        <v>100</v>
      </c>
      <c r="F309" s="75" t="s">
        <v>113</v>
      </c>
      <c r="G309" s="75" t="s">
        <v>78</v>
      </c>
      <c r="H309" s="75" t="s">
        <v>79</v>
      </c>
      <c r="I309" s="75" t="s">
        <v>69</v>
      </c>
      <c r="J309" s="75" t="s">
        <v>80</v>
      </c>
      <c r="K309" s="75" t="s">
        <v>108</v>
      </c>
      <c r="L309" s="75" t="s">
        <v>109</v>
      </c>
      <c r="M309" s="75" t="s">
        <v>62</v>
      </c>
      <c r="N309" s="75">
        <v>672</v>
      </c>
      <c r="O309" s="77">
        <v>8018.05</v>
      </c>
      <c r="P309" s="77">
        <f t="shared" si="3"/>
        <v>5388129.6000000006</v>
      </c>
      <c r="Q309" s="75">
        <v>30</v>
      </c>
      <c r="R309" s="75">
        <v>29</v>
      </c>
      <c r="S309" s="75">
        <f t="shared" si="4"/>
        <v>0</v>
      </c>
      <c r="T309" s="75" t="str">
        <f t="shared" si="5"/>
        <v>Yes</v>
      </c>
      <c r="U309" s="75">
        <v>1053</v>
      </c>
      <c r="V309" s="75">
        <v>692</v>
      </c>
      <c r="W309" s="75">
        <v>1010</v>
      </c>
      <c r="X309" s="75">
        <v>18</v>
      </c>
      <c r="Y309" s="75">
        <v>25</v>
      </c>
      <c r="Z309" s="77">
        <v>5953.79</v>
      </c>
      <c r="AA309" s="77">
        <v>6311</v>
      </c>
      <c r="AB309" s="78">
        <v>0.88</v>
      </c>
    </row>
    <row r="310" spans="1:28" ht="15.75" customHeight="1" x14ac:dyDescent="0.3">
      <c r="A310" s="71" t="s">
        <v>491</v>
      </c>
      <c r="B310" s="72">
        <v>45625</v>
      </c>
      <c r="C310" s="71" t="s">
        <v>75</v>
      </c>
      <c r="D310" s="71" t="s">
        <v>76</v>
      </c>
      <c r="E310" s="71" t="s">
        <v>77</v>
      </c>
      <c r="F310" s="71" t="s">
        <v>55</v>
      </c>
      <c r="G310" s="71" t="s">
        <v>56</v>
      </c>
      <c r="H310" s="71" t="s">
        <v>57</v>
      </c>
      <c r="I310" s="71" t="s">
        <v>58</v>
      </c>
      <c r="J310" s="71" t="s">
        <v>59</v>
      </c>
      <c r="K310" s="71" t="s">
        <v>60</v>
      </c>
      <c r="L310" s="71" t="s">
        <v>61</v>
      </c>
      <c r="M310" s="71" t="s">
        <v>62</v>
      </c>
      <c r="N310" s="71">
        <v>124</v>
      </c>
      <c r="O310" s="73">
        <v>82.74</v>
      </c>
      <c r="P310" s="73">
        <f t="shared" si="3"/>
        <v>10259.76</v>
      </c>
      <c r="Q310" s="71">
        <v>10</v>
      </c>
      <c r="R310" s="71">
        <v>9</v>
      </c>
      <c r="S310" s="71">
        <f t="shared" si="4"/>
        <v>0</v>
      </c>
      <c r="T310" s="71" t="str">
        <f t="shared" si="5"/>
        <v>Yes</v>
      </c>
      <c r="U310" s="71">
        <v>2977</v>
      </c>
      <c r="V310" s="71">
        <v>167</v>
      </c>
      <c r="W310" s="71">
        <v>164</v>
      </c>
      <c r="X310" s="71">
        <v>2</v>
      </c>
      <c r="Y310" s="71">
        <v>3</v>
      </c>
      <c r="Z310" s="73">
        <v>57.93</v>
      </c>
      <c r="AA310" s="73">
        <v>1963</v>
      </c>
      <c r="AB310" s="74">
        <v>0.84</v>
      </c>
    </row>
    <row r="311" spans="1:28" ht="15.75" customHeight="1" x14ac:dyDescent="0.3">
      <c r="A311" s="71" t="s">
        <v>492</v>
      </c>
      <c r="B311" s="72">
        <v>45628</v>
      </c>
      <c r="C311" s="71" t="s">
        <v>125</v>
      </c>
      <c r="D311" s="71" t="s">
        <v>126</v>
      </c>
      <c r="E311" s="71" t="s">
        <v>127</v>
      </c>
      <c r="F311" s="71" t="s">
        <v>44</v>
      </c>
      <c r="G311" s="71" t="s">
        <v>229</v>
      </c>
      <c r="H311" s="71" t="s">
        <v>230</v>
      </c>
      <c r="I311" s="71" t="s">
        <v>69</v>
      </c>
      <c r="J311" s="71" t="s">
        <v>70</v>
      </c>
      <c r="K311" s="71" t="s">
        <v>71</v>
      </c>
      <c r="L311" s="71" t="s">
        <v>72</v>
      </c>
      <c r="M311" s="71" t="s">
        <v>73</v>
      </c>
      <c r="N311" s="71">
        <v>771</v>
      </c>
      <c r="O311" s="73">
        <v>3081.07</v>
      </c>
      <c r="P311" s="73">
        <f t="shared" si="3"/>
        <v>2375504.9700000002</v>
      </c>
      <c r="Q311" s="71">
        <v>24</v>
      </c>
      <c r="R311" s="71">
        <v>26</v>
      </c>
      <c r="S311" s="71">
        <f t="shared" si="4"/>
        <v>2</v>
      </c>
      <c r="T311" s="71" t="str">
        <f t="shared" si="5"/>
        <v>No</v>
      </c>
      <c r="U311" s="71">
        <v>2615</v>
      </c>
      <c r="V311" s="71">
        <v>883</v>
      </c>
      <c r="W311" s="71">
        <v>1106</v>
      </c>
      <c r="X311" s="71">
        <v>11</v>
      </c>
      <c r="Y311" s="71">
        <v>15</v>
      </c>
      <c r="Z311" s="73">
        <v>2313.9499999999998</v>
      </c>
      <c r="AA311" s="73">
        <v>4977</v>
      </c>
      <c r="AB311" s="74">
        <v>0.91</v>
      </c>
    </row>
    <row r="312" spans="1:28" ht="15.75" customHeight="1" x14ac:dyDescent="0.3">
      <c r="A312" s="71" t="s">
        <v>493</v>
      </c>
      <c r="B312" s="72">
        <v>45629</v>
      </c>
      <c r="C312" s="71" t="s">
        <v>111</v>
      </c>
      <c r="D312" s="71" t="s">
        <v>112</v>
      </c>
      <c r="E312" s="71" t="s">
        <v>87</v>
      </c>
      <c r="F312" s="71" t="s">
        <v>113</v>
      </c>
      <c r="G312" s="71" t="s">
        <v>135</v>
      </c>
      <c r="H312" s="71" t="s">
        <v>136</v>
      </c>
      <c r="I312" s="71" t="s">
        <v>137</v>
      </c>
      <c r="J312" s="71" t="s">
        <v>138</v>
      </c>
      <c r="K312" s="71" t="s">
        <v>91</v>
      </c>
      <c r="L312" s="71" t="s">
        <v>92</v>
      </c>
      <c r="M312" s="71" t="s">
        <v>51</v>
      </c>
      <c r="N312" s="71">
        <v>85</v>
      </c>
      <c r="O312" s="73">
        <v>956.09</v>
      </c>
      <c r="P312" s="73">
        <f t="shared" si="3"/>
        <v>81267.650000000009</v>
      </c>
      <c r="Q312" s="71">
        <v>15</v>
      </c>
      <c r="R312" s="71">
        <v>17</v>
      </c>
      <c r="S312" s="71">
        <f t="shared" si="4"/>
        <v>2</v>
      </c>
      <c r="T312" s="71" t="str">
        <f t="shared" si="5"/>
        <v>No</v>
      </c>
      <c r="U312" s="71">
        <v>289</v>
      </c>
      <c r="V312" s="71">
        <v>38</v>
      </c>
      <c r="W312" s="71">
        <v>47</v>
      </c>
      <c r="X312" s="71">
        <v>4</v>
      </c>
      <c r="Y312" s="71">
        <v>6</v>
      </c>
      <c r="Z312" s="73">
        <v>685.59</v>
      </c>
      <c r="AA312" s="73">
        <v>6333</v>
      </c>
      <c r="AB312" s="74">
        <v>0.79</v>
      </c>
    </row>
    <row r="313" spans="1:28" ht="15.75" customHeight="1" x14ac:dyDescent="0.3">
      <c r="A313" s="71" t="s">
        <v>494</v>
      </c>
      <c r="B313" s="72">
        <v>45630</v>
      </c>
      <c r="C313" s="71" t="s">
        <v>85</v>
      </c>
      <c r="D313" s="71" t="s">
        <v>86</v>
      </c>
      <c r="E313" s="71" t="s">
        <v>87</v>
      </c>
      <c r="F313" s="71" t="s">
        <v>55</v>
      </c>
      <c r="G313" s="71" t="s">
        <v>149</v>
      </c>
      <c r="H313" s="71" t="s">
        <v>150</v>
      </c>
      <c r="I313" s="71" t="s">
        <v>58</v>
      </c>
      <c r="J313" s="71" t="s">
        <v>59</v>
      </c>
      <c r="K313" s="71" t="s">
        <v>91</v>
      </c>
      <c r="L313" s="71" t="s">
        <v>92</v>
      </c>
      <c r="M313" s="71" t="s">
        <v>51</v>
      </c>
      <c r="N313" s="71">
        <v>377</v>
      </c>
      <c r="O313" s="73">
        <v>348.01</v>
      </c>
      <c r="P313" s="73">
        <f t="shared" si="3"/>
        <v>131199.76999999999</v>
      </c>
      <c r="Q313" s="71">
        <v>10</v>
      </c>
      <c r="R313" s="71">
        <v>9</v>
      </c>
      <c r="S313" s="71">
        <f t="shared" si="4"/>
        <v>0</v>
      </c>
      <c r="T313" s="71" t="str">
        <f t="shared" si="5"/>
        <v>Yes</v>
      </c>
      <c r="U313" s="71">
        <v>955</v>
      </c>
      <c r="V313" s="71">
        <v>214</v>
      </c>
      <c r="W313" s="71">
        <v>318</v>
      </c>
      <c r="X313" s="71">
        <v>2</v>
      </c>
      <c r="Y313" s="71">
        <v>4</v>
      </c>
      <c r="Z313" s="73">
        <v>223.5</v>
      </c>
      <c r="AA313" s="73">
        <v>679</v>
      </c>
      <c r="AB313" s="74">
        <v>0.87</v>
      </c>
    </row>
    <row r="314" spans="1:28" ht="15.75" customHeight="1" x14ac:dyDescent="0.3">
      <c r="A314" s="75" t="s">
        <v>495</v>
      </c>
      <c r="B314" s="76">
        <v>45633</v>
      </c>
      <c r="C314" s="75" t="s">
        <v>133</v>
      </c>
      <c r="D314" s="75" t="s">
        <v>134</v>
      </c>
      <c r="E314" s="75" t="s">
        <v>100</v>
      </c>
      <c r="F314" s="75" t="s">
        <v>66</v>
      </c>
      <c r="G314" s="75" t="s">
        <v>236</v>
      </c>
      <c r="H314" s="75" t="s">
        <v>237</v>
      </c>
      <c r="I314" s="75" t="s">
        <v>47</v>
      </c>
      <c r="J314" s="75" t="s">
        <v>48</v>
      </c>
      <c r="K314" s="75" t="s">
        <v>189</v>
      </c>
      <c r="L314" s="75" t="s">
        <v>190</v>
      </c>
      <c r="M314" s="75" t="s">
        <v>73</v>
      </c>
      <c r="N314" s="75">
        <v>505</v>
      </c>
      <c r="O314" s="77">
        <v>2035.16</v>
      </c>
      <c r="P314" s="77">
        <f t="shared" si="3"/>
        <v>1027755.8</v>
      </c>
      <c r="Q314" s="75">
        <v>23</v>
      </c>
      <c r="R314" s="75">
        <v>32</v>
      </c>
      <c r="S314" s="75">
        <f t="shared" si="4"/>
        <v>9</v>
      </c>
      <c r="T314" s="75" t="str">
        <f t="shared" si="5"/>
        <v>No</v>
      </c>
      <c r="U314" s="75">
        <v>1179</v>
      </c>
      <c r="V314" s="75">
        <v>745</v>
      </c>
      <c r="W314" s="75">
        <v>1030</v>
      </c>
      <c r="X314" s="75">
        <v>8</v>
      </c>
      <c r="Y314" s="75">
        <v>12</v>
      </c>
      <c r="Z314" s="77">
        <v>1341.68</v>
      </c>
      <c r="AA314" s="77">
        <v>3456</v>
      </c>
      <c r="AB314" s="78">
        <v>0.75</v>
      </c>
    </row>
    <row r="315" spans="1:28" ht="15.75" customHeight="1" x14ac:dyDescent="0.3">
      <c r="A315" s="71" t="s">
        <v>496</v>
      </c>
      <c r="B315" s="72">
        <v>45633</v>
      </c>
      <c r="C315" s="71" t="s">
        <v>111</v>
      </c>
      <c r="D315" s="71" t="s">
        <v>112</v>
      </c>
      <c r="E315" s="71" t="s">
        <v>87</v>
      </c>
      <c r="F315" s="71" t="s">
        <v>113</v>
      </c>
      <c r="G315" s="71" t="s">
        <v>178</v>
      </c>
      <c r="H315" s="71" t="s">
        <v>179</v>
      </c>
      <c r="I315" s="71" t="s">
        <v>58</v>
      </c>
      <c r="J315" s="71" t="s">
        <v>59</v>
      </c>
      <c r="K315" s="71" t="s">
        <v>91</v>
      </c>
      <c r="L315" s="71" t="s">
        <v>92</v>
      </c>
      <c r="M315" s="71" t="s">
        <v>51</v>
      </c>
      <c r="N315" s="71">
        <v>136</v>
      </c>
      <c r="O315" s="73">
        <v>881.3</v>
      </c>
      <c r="P315" s="73">
        <f t="shared" si="3"/>
        <v>119856.79999999999</v>
      </c>
      <c r="Q315" s="71">
        <v>20</v>
      </c>
      <c r="R315" s="71">
        <v>20</v>
      </c>
      <c r="S315" s="71">
        <f t="shared" si="4"/>
        <v>0</v>
      </c>
      <c r="T315" s="71" t="str">
        <f t="shared" si="5"/>
        <v>Yes</v>
      </c>
      <c r="U315" s="71">
        <v>2867</v>
      </c>
      <c r="V315" s="71">
        <v>152</v>
      </c>
      <c r="W315" s="71">
        <v>122</v>
      </c>
      <c r="X315" s="71">
        <v>4</v>
      </c>
      <c r="Y315" s="71">
        <v>6</v>
      </c>
      <c r="Z315" s="73">
        <v>602.96</v>
      </c>
      <c r="AA315" s="73">
        <v>1327</v>
      </c>
      <c r="AB315" s="74">
        <v>0.89</v>
      </c>
    </row>
    <row r="316" spans="1:28" ht="15.75" customHeight="1" x14ac:dyDescent="0.3">
      <c r="A316" s="79" t="s">
        <v>497</v>
      </c>
      <c r="B316" s="80">
        <v>45636</v>
      </c>
      <c r="C316" s="79" t="s">
        <v>221</v>
      </c>
      <c r="D316" s="79" t="s">
        <v>222</v>
      </c>
      <c r="E316" s="79" t="s">
        <v>77</v>
      </c>
      <c r="F316" s="79" t="s">
        <v>44</v>
      </c>
      <c r="G316" s="79" t="s">
        <v>217</v>
      </c>
      <c r="H316" s="79" t="s">
        <v>218</v>
      </c>
      <c r="I316" s="79" t="s">
        <v>137</v>
      </c>
      <c r="J316" s="79" t="s">
        <v>138</v>
      </c>
      <c r="K316" s="79" t="s">
        <v>81</v>
      </c>
      <c r="L316" s="79" t="s">
        <v>82</v>
      </c>
      <c r="M316" s="79" t="s">
        <v>83</v>
      </c>
      <c r="N316" s="79">
        <v>990</v>
      </c>
      <c r="O316" s="81">
        <v>26.93</v>
      </c>
      <c r="P316" s="81">
        <f t="shared" si="3"/>
        <v>26660.7</v>
      </c>
      <c r="Q316" s="79">
        <v>22</v>
      </c>
      <c r="R316" s="79">
        <v>23</v>
      </c>
      <c r="S316" s="79">
        <f t="shared" si="4"/>
        <v>1</v>
      </c>
      <c r="T316" s="79" t="str">
        <f t="shared" si="5"/>
        <v>No</v>
      </c>
      <c r="U316" s="79">
        <v>1239</v>
      </c>
      <c r="V316" s="79">
        <v>1213</v>
      </c>
      <c r="W316" s="79">
        <v>1568</v>
      </c>
      <c r="X316" s="79">
        <v>1.2</v>
      </c>
      <c r="Y316" s="79">
        <v>2</v>
      </c>
      <c r="Z316" s="81">
        <v>19.87</v>
      </c>
      <c r="AA316" s="81">
        <v>4505</v>
      </c>
      <c r="AB316" s="82">
        <v>0.79</v>
      </c>
    </row>
    <row r="317" spans="1:28" ht="15.75" customHeight="1" x14ac:dyDescent="0.3">
      <c r="A317" s="71" t="s">
        <v>498</v>
      </c>
      <c r="B317" s="72">
        <v>45637</v>
      </c>
      <c r="C317" s="71" t="s">
        <v>98</v>
      </c>
      <c r="D317" s="71" t="s">
        <v>99</v>
      </c>
      <c r="E317" s="71" t="s">
        <v>100</v>
      </c>
      <c r="F317" s="71" t="s">
        <v>55</v>
      </c>
      <c r="G317" s="71" t="s">
        <v>203</v>
      </c>
      <c r="H317" s="71" t="s">
        <v>204</v>
      </c>
      <c r="I317" s="71" t="s">
        <v>58</v>
      </c>
      <c r="J317" s="71" t="s">
        <v>90</v>
      </c>
      <c r="K317" s="71" t="s">
        <v>189</v>
      </c>
      <c r="L317" s="71" t="s">
        <v>190</v>
      </c>
      <c r="M317" s="71" t="s">
        <v>73</v>
      </c>
      <c r="N317" s="71">
        <v>395</v>
      </c>
      <c r="O317" s="73">
        <v>9454.14</v>
      </c>
      <c r="P317" s="73">
        <f t="shared" si="3"/>
        <v>3734385.3</v>
      </c>
      <c r="Q317" s="71">
        <v>28</v>
      </c>
      <c r="R317" s="71">
        <v>27</v>
      </c>
      <c r="S317" s="71">
        <f t="shared" si="4"/>
        <v>0</v>
      </c>
      <c r="T317" s="71" t="str">
        <f t="shared" si="5"/>
        <v>Yes</v>
      </c>
      <c r="U317" s="71">
        <v>860</v>
      </c>
      <c r="V317" s="71">
        <v>369</v>
      </c>
      <c r="W317" s="71">
        <v>356</v>
      </c>
      <c r="X317" s="71">
        <v>18</v>
      </c>
      <c r="Y317" s="71">
        <v>25</v>
      </c>
      <c r="Z317" s="73">
        <v>6602.82</v>
      </c>
      <c r="AA317" s="73">
        <v>990</v>
      </c>
      <c r="AB317" s="74">
        <v>0.97</v>
      </c>
    </row>
    <row r="318" spans="1:28" ht="15.75" customHeight="1" x14ac:dyDescent="0.3">
      <c r="A318" s="79" t="s">
        <v>499</v>
      </c>
      <c r="B318" s="80">
        <v>45637</v>
      </c>
      <c r="C318" s="79" t="s">
        <v>133</v>
      </c>
      <c r="D318" s="79" t="s">
        <v>134</v>
      </c>
      <c r="E318" s="79" t="s">
        <v>100</v>
      </c>
      <c r="F318" s="79" t="s">
        <v>44</v>
      </c>
      <c r="G318" s="79" t="s">
        <v>130</v>
      </c>
      <c r="H318" s="79" t="s">
        <v>131</v>
      </c>
      <c r="I318" s="79" t="s">
        <v>69</v>
      </c>
      <c r="J318" s="79" t="s">
        <v>70</v>
      </c>
      <c r="K318" s="79" t="s">
        <v>104</v>
      </c>
      <c r="L318" s="79" t="s">
        <v>105</v>
      </c>
      <c r="M318" s="79" t="s">
        <v>106</v>
      </c>
      <c r="N318" s="79">
        <v>305</v>
      </c>
      <c r="O318" s="81">
        <v>1963.66</v>
      </c>
      <c r="P318" s="81">
        <f t="shared" si="3"/>
        <v>598916.30000000005</v>
      </c>
      <c r="Q318" s="79">
        <v>15</v>
      </c>
      <c r="R318" s="79">
        <v>23</v>
      </c>
      <c r="S318" s="79">
        <f t="shared" si="4"/>
        <v>8</v>
      </c>
      <c r="T318" s="79" t="str">
        <f t="shared" si="5"/>
        <v>No</v>
      </c>
      <c r="U318" s="79">
        <v>239</v>
      </c>
      <c r="V318" s="79">
        <v>408</v>
      </c>
      <c r="W318" s="79">
        <v>598</v>
      </c>
      <c r="X318" s="79">
        <v>8</v>
      </c>
      <c r="Y318" s="79">
        <v>12</v>
      </c>
      <c r="Z318" s="81">
        <v>1368.51</v>
      </c>
      <c r="AA318" s="81">
        <v>2098</v>
      </c>
      <c r="AB318" s="82">
        <v>0.93</v>
      </c>
    </row>
    <row r="319" spans="1:28" ht="15.75" customHeight="1" x14ac:dyDescent="0.3">
      <c r="A319" s="75" t="s">
        <v>500</v>
      </c>
      <c r="B319" s="76">
        <v>45640</v>
      </c>
      <c r="C319" s="75" t="s">
        <v>75</v>
      </c>
      <c r="D319" s="75" t="s">
        <v>76</v>
      </c>
      <c r="E319" s="75" t="s">
        <v>77</v>
      </c>
      <c r="F319" s="75" t="s">
        <v>113</v>
      </c>
      <c r="G319" s="75" t="s">
        <v>166</v>
      </c>
      <c r="H319" s="75" t="s">
        <v>167</v>
      </c>
      <c r="I319" s="75" t="s">
        <v>69</v>
      </c>
      <c r="J319" s="75" t="s">
        <v>103</v>
      </c>
      <c r="K319" s="75" t="s">
        <v>81</v>
      </c>
      <c r="L319" s="75" t="s">
        <v>82</v>
      </c>
      <c r="M319" s="75" t="s">
        <v>83</v>
      </c>
      <c r="N319" s="75">
        <v>916</v>
      </c>
      <c r="O319" s="77">
        <v>85.32</v>
      </c>
      <c r="P319" s="77">
        <f t="shared" si="3"/>
        <v>78153.119999999995</v>
      </c>
      <c r="Q319" s="75">
        <v>8</v>
      </c>
      <c r="R319" s="75">
        <v>16</v>
      </c>
      <c r="S319" s="75">
        <f t="shared" si="4"/>
        <v>8</v>
      </c>
      <c r="T319" s="75" t="str">
        <f t="shared" si="5"/>
        <v>No</v>
      </c>
      <c r="U319" s="75">
        <v>1691</v>
      </c>
      <c r="V319" s="75">
        <v>1307</v>
      </c>
      <c r="W319" s="75">
        <v>1301</v>
      </c>
      <c r="X319" s="75">
        <v>2</v>
      </c>
      <c r="Y319" s="75">
        <v>3</v>
      </c>
      <c r="Z319" s="77">
        <v>62.97</v>
      </c>
      <c r="AA319" s="77">
        <v>2279</v>
      </c>
      <c r="AB319" s="78">
        <v>0.82</v>
      </c>
    </row>
    <row r="320" spans="1:28" ht="15.75" customHeight="1" x14ac:dyDescent="0.3">
      <c r="A320" s="71" t="s">
        <v>501</v>
      </c>
      <c r="B320" s="72">
        <v>45640</v>
      </c>
      <c r="C320" s="71" t="s">
        <v>111</v>
      </c>
      <c r="D320" s="71" t="s">
        <v>112</v>
      </c>
      <c r="E320" s="71" t="s">
        <v>87</v>
      </c>
      <c r="F320" s="71" t="s">
        <v>128</v>
      </c>
      <c r="G320" s="71" t="s">
        <v>67</v>
      </c>
      <c r="H320" s="71" t="s">
        <v>68</v>
      </c>
      <c r="I320" s="71" t="s">
        <v>69</v>
      </c>
      <c r="J320" s="71" t="s">
        <v>70</v>
      </c>
      <c r="K320" s="71" t="s">
        <v>91</v>
      </c>
      <c r="L320" s="71" t="s">
        <v>92</v>
      </c>
      <c r="M320" s="71" t="s">
        <v>51</v>
      </c>
      <c r="N320" s="71">
        <v>837</v>
      </c>
      <c r="O320" s="73">
        <v>880.06</v>
      </c>
      <c r="P320" s="73">
        <f t="shared" si="3"/>
        <v>736610.22</v>
      </c>
      <c r="Q320" s="71">
        <v>29</v>
      </c>
      <c r="R320" s="71">
        <v>32</v>
      </c>
      <c r="S320" s="71">
        <f t="shared" si="4"/>
        <v>3</v>
      </c>
      <c r="T320" s="71" t="str">
        <f t="shared" si="5"/>
        <v>No</v>
      </c>
      <c r="U320" s="71">
        <v>2287</v>
      </c>
      <c r="V320" s="71">
        <v>312</v>
      </c>
      <c r="W320" s="71">
        <v>334</v>
      </c>
      <c r="X320" s="71">
        <v>4</v>
      </c>
      <c r="Y320" s="71">
        <v>6</v>
      </c>
      <c r="Z320" s="73">
        <v>620.02</v>
      </c>
      <c r="AA320" s="73">
        <v>4886</v>
      </c>
      <c r="AB320" s="74">
        <v>0.89</v>
      </c>
    </row>
    <row r="321" spans="1:28" ht="15.75" customHeight="1" x14ac:dyDescent="0.3">
      <c r="A321" s="71" t="s">
        <v>502</v>
      </c>
      <c r="B321" s="72">
        <v>45644</v>
      </c>
      <c r="C321" s="71" t="s">
        <v>133</v>
      </c>
      <c r="D321" s="71" t="s">
        <v>134</v>
      </c>
      <c r="E321" s="71" t="s">
        <v>100</v>
      </c>
      <c r="F321" s="71" t="s">
        <v>55</v>
      </c>
      <c r="G321" s="71" t="s">
        <v>158</v>
      </c>
      <c r="H321" s="71" t="s">
        <v>159</v>
      </c>
      <c r="I321" s="71" t="s">
        <v>69</v>
      </c>
      <c r="J321" s="71" t="s">
        <v>70</v>
      </c>
      <c r="K321" s="71" t="s">
        <v>108</v>
      </c>
      <c r="L321" s="71" t="s">
        <v>109</v>
      </c>
      <c r="M321" s="71" t="s">
        <v>62</v>
      </c>
      <c r="N321" s="71">
        <v>134</v>
      </c>
      <c r="O321" s="73">
        <v>2407.19</v>
      </c>
      <c r="P321" s="73">
        <f t="shared" si="3"/>
        <v>322563.46000000002</v>
      </c>
      <c r="Q321" s="71">
        <v>30</v>
      </c>
      <c r="R321" s="71">
        <v>30</v>
      </c>
      <c r="S321" s="71">
        <f t="shared" si="4"/>
        <v>0</v>
      </c>
      <c r="T321" s="71" t="str">
        <f t="shared" si="5"/>
        <v>Yes</v>
      </c>
      <c r="U321" s="71">
        <v>2043</v>
      </c>
      <c r="V321" s="71">
        <v>44</v>
      </c>
      <c r="W321" s="71">
        <v>52</v>
      </c>
      <c r="X321" s="71">
        <v>8</v>
      </c>
      <c r="Y321" s="71">
        <v>12</v>
      </c>
      <c r="Z321" s="73">
        <v>1621.92</v>
      </c>
      <c r="AA321" s="73">
        <v>7083</v>
      </c>
      <c r="AB321" s="74">
        <v>0.98</v>
      </c>
    </row>
    <row r="322" spans="1:28" ht="15.75" customHeight="1" x14ac:dyDescent="0.3">
      <c r="A322" s="71" t="s">
        <v>503</v>
      </c>
      <c r="B322" s="72">
        <v>45647</v>
      </c>
      <c r="C322" s="71" t="s">
        <v>64</v>
      </c>
      <c r="D322" s="71" t="s">
        <v>65</v>
      </c>
      <c r="E322" s="71" t="s">
        <v>43</v>
      </c>
      <c r="F322" s="71" t="s">
        <v>44</v>
      </c>
      <c r="G322" s="71" t="s">
        <v>152</v>
      </c>
      <c r="H322" s="71" t="s">
        <v>153</v>
      </c>
      <c r="I322" s="71" t="s">
        <v>58</v>
      </c>
      <c r="J322" s="71" t="s">
        <v>59</v>
      </c>
      <c r="K322" s="71" t="s">
        <v>49</v>
      </c>
      <c r="L322" s="71" t="s">
        <v>50</v>
      </c>
      <c r="M322" s="71" t="s">
        <v>51</v>
      </c>
      <c r="N322" s="71">
        <v>201</v>
      </c>
      <c r="O322" s="73">
        <v>446.15</v>
      </c>
      <c r="P322" s="73">
        <f t="shared" si="3"/>
        <v>89676.15</v>
      </c>
      <c r="Q322" s="71">
        <v>11</v>
      </c>
      <c r="R322" s="71">
        <v>11</v>
      </c>
      <c r="S322" s="71">
        <f t="shared" si="4"/>
        <v>0</v>
      </c>
      <c r="T322" s="71" t="str">
        <f t="shared" si="5"/>
        <v>Yes</v>
      </c>
      <c r="U322" s="71">
        <v>1094</v>
      </c>
      <c r="V322" s="71">
        <v>222</v>
      </c>
      <c r="W322" s="71">
        <v>253</v>
      </c>
      <c r="X322" s="71">
        <v>3</v>
      </c>
      <c r="Y322" s="71">
        <v>5</v>
      </c>
      <c r="Z322" s="73">
        <v>353.88</v>
      </c>
      <c r="AA322" s="73">
        <v>3067</v>
      </c>
      <c r="AB322" s="74">
        <v>0.87</v>
      </c>
    </row>
    <row r="323" spans="1:28" ht="15.75" customHeight="1" x14ac:dyDescent="0.3"/>
    <row r="324" spans="1:28" ht="15.75" customHeight="1" x14ac:dyDescent="0.3"/>
    <row r="325" spans="1:28" ht="15.75" customHeight="1" x14ac:dyDescent="0.3"/>
    <row r="326" spans="1:28" ht="15.75" customHeight="1" x14ac:dyDescent="0.3"/>
    <row r="327" spans="1:28" ht="15.75" customHeight="1" x14ac:dyDescent="0.3"/>
    <row r="328" spans="1:28" ht="15.75" customHeight="1" x14ac:dyDescent="0.3"/>
    <row r="329" spans="1:28" ht="15.75" customHeight="1" x14ac:dyDescent="0.3"/>
    <row r="330" spans="1:28" ht="15.75" customHeight="1" x14ac:dyDescent="0.3"/>
    <row r="331" spans="1:28" ht="15.75" customHeight="1" x14ac:dyDescent="0.3"/>
    <row r="332" spans="1:28" ht="15.75" customHeight="1" x14ac:dyDescent="0.3"/>
    <row r="333" spans="1:28" ht="15.75" customHeight="1" x14ac:dyDescent="0.3"/>
    <row r="334" spans="1:28" ht="15.75" customHeight="1" x14ac:dyDescent="0.3"/>
    <row r="335" spans="1:28" ht="15.75" customHeight="1" x14ac:dyDescent="0.3"/>
    <row r="336" spans="1:28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2:AB322" xr:uid="{00000000-0009-0000-0000-000001000000}"/>
  <mergeCells count="1">
    <mergeCell ref="A1:AB1"/>
  </mergeCells>
  <conditionalFormatting sqref="S3:S322">
    <cfRule type="cellIs" dxfId="6" priority="3" operator="equal">
      <formula>0</formula>
    </cfRule>
    <cfRule type="cellIs" dxfId="5" priority="4" operator="between">
      <formula>1</formula>
      <formula>3</formula>
    </cfRule>
    <cfRule type="cellIs" dxfId="4" priority="5" operator="greaterThan">
      <formula>3</formula>
    </cfRule>
  </conditionalFormatting>
  <conditionalFormatting sqref="T3:T322">
    <cfRule type="cellIs" dxfId="3" priority="1" operator="equal">
      <formula>"Yes"</formula>
    </cfRule>
    <cfRule type="cellIs" dxfId="2" priority="2" operator="equal">
      <formula>"No"</formula>
    </cfRule>
  </conditionalFormatting>
  <dataValidations count="1">
    <dataValidation type="list" allowBlank="1" sqref="I3:I322" xr:uid="{00000000-0002-0000-0100-000000000000}">
      <formula1>"North,South,East,West,Central"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1000"/>
  <sheetViews>
    <sheetView showGridLines="0" zoomScale="70" zoomScaleNormal="70" workbookViewId="0">
      <selection activeCell="P49" sqref="P49"/>
    </sheetView>
  </sheetViews>
  <sheetFormatPr defaultColWidth="14.44140625" defaultRowHeight="15" customHeight="1" x14ac:dyDescent="0.3"/>
  <cols>
    <col min="1" max="1" width="10.21875" bestFit="1" customWidth="1"/>
    <col min="2" max="2" width="15" bestFit="1" customWidth="1"/>
    <col min="3" max="3" width="20.44140625" bestFit="1" customWidth="1"/>
    <col min="4" max="4" width="38.6640625" bestFit="1" customWidth="1"/>
    <col min="5" max="7" width="16" customWidth="1"/>
    <col min="8" max="8" width="18" customWidth="1"/>
    <col min="9" max="10" width="16" customWidth="1"/>
    <col min="11" max="12" width="14" customWidth="1"/>
    <col min="13" max="13" width="12" customWidth="1"/>
    <col min="14" max="26" width="8.6640625" customWidth="1"/>
  </cols>
  <sheetData>
    <row r="1" spans="1:13" ht="30" customHeight="1" x14ac:dyDescent="0.3">
      <c r="A1" s="50" t="s">
        <v>504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7"/>
    </row>
    <row r="3" spans="1:13" ht="24.75" customHeight="1" x14ac:dyDescent="0.3">
      <c r="A3" s="3" t="s">
        <v>14</v>
      </c>
      <c r="B3" s="3" t="s">
        <v>15</v>
      </c>
      <c r="C3" s="3" t="s">
        <v>505</v>
      </c>
      <c r="D3" s="3" t="s">
        <v>506</v>
      </c>
      <c r="E3" s="3" t="s">
        <v>507</v>
      </c>
      <c r="F3" s="3" t="s">
        <v>508</v>
      </c>
      <c r="G3" s="3" t="s">
        <v>509</v>
      </c>
      <c r="H3" s="3" t="s">
        <v>510</v>
      </c>
      <c r="I3" s="3" t="s">
        <v>511</v>
      </c>
      <c r="J3" s="3" t="s">
        <v>512</v>
      </c>
      <c r="K3" s="3" t="s">
        <v>34</v>
      </c>
      <c r="L3" s="3" t="s">
        <v>513</v>
      </c>
      <c r="M3" s="3" t="s">
        <v>514</v>
      </c>
    </row>
    <row r="4" spans="1:13" ht="14.4" x14ac:dyDescent="0.3">
      <c r="A4" s="4" t="s">
        <v>98</v>
      </c>
      <c r="B4" s="4" t="s">
        <v>99</v>
      </c>
      <c r="C4" s="4" t="s">
        <v>100</v>
      </c>
      <c r="D4" s="4" t="s">
        <v>55</v>
      </c>
      <c r="E4" s="4">
        <v>1820</v>
      </c>
      <c r="F4" s="4">
        <v>2402</v>
      </c>
      <c r="G4" s="5">
        <v>17710357.07</v>
      </c>
      <c r="H4" s="5">
        <f>E4*'Raw Data'!Z3</f>
        <v>18857438.599999998</v>
      </c>
      <c r="I4" s="6">
        <f t="shared" ref="I4:I97" si="0">IF(H4=0,0,G4/H4)</f>
        <v>0.93917087286711365</v>
      </c>
      <c r="J4" s="4">
        <f>IF(I4=0,"N/A",365/I4)</f>
        <v>388.64067290089929</v>
      </c>
      <c r="K4" s="4">
        <v>562</v>
      </c>
      <c r="L4" s="4" t="str">
        <f>IF(E4&lt;K4,"HIGH RISK",IF(E4&lt;2*K4,"WATCH","SAFE"))</f>
        <v>SAFE</v>
      </c>
      <c r="M4" s="10" t="s">
        <v>515</v>
      </c>
    </row>
    <row r="5" spans="1:13" ht="14.4" x14ac:dyDescent="0.3">
      <c r="A5" s="7" t="s">
        <v>98</v>
      </c>
      <c r="B5" s="7" t="s">
        <v>99</v>
      </c>
      <c r="C5" s="7" t="s">
        <v>100</v>
      </c>
      <c r="D5" s="7" t="s">
        <v>66</v>
      </c>
      <c r="E5" s="7">
        <v>2316</v>
      </c>
      <c r="F5" s="7">
        <v>2277</v>
      </c>
      <c r="G5" s="8">
        <v>17263905.699999999</v>
      </c>
      <c r="H5" s="8">
        <f>E5*'Raw Data'!Z4</f>
        <v>1179330.3599999999</v>
      </c>
      <c r="I5" s="9">
        <f t="shared" si="0"/>
        <v>14.638735917898359</v>
      </c>
      <c r="J5" s="7">
        <f t="shared" ref="J4:J97" si="1">IF(I5=0,"N/A",365/I5)</f>
        <v>24.933846887266071</v>
      </c>
      <c r="K5" s="7">
        <v>608</v>
      </c>
      <c r="L5" s="7" t="str">
        <f t="shared" ref="L4:L97" si="2">IF(E5&lt;K5,"HIGH RISK",IF(E5&lt;2*K5,"WATCH","SAFE"))</f>
        <v>SAFE</v>
      </c>
      <c r="M5" s="10" t="s">
        <v>515</v>
      </c>
    </row>
    <row r="6" spans="1:13" ht="14.4" x14ac:dyDescent="0.3">
      <c r="A6" s="4" t="s">
        <v>41</v>
      </c>
      <c r="B6" s="4" t="s">
        <v>42</v>
      </c>
      <c r="C6" s="4" t="s">
        <v>43</v>
      </c>
      <c r="D6" s="4" t="s">
        <v>66</v>
      </c>
      <c r="E6" s="4">
        <v>1873</v>
      </c>
      <c r="F6" s="4">
        <v>1742</v>
      </c>
      <c r="G6" s="5">
        <v>15759975.300000001</v>
      </c>
      <c r="H6" s="5">
        <f>E6*'Raw Data'!Z5</f>
        <v>675684.75</v>
      </c>
      <c r="I6" s="6">
        <f t="shared" si="0"/>
        <v>23.324450196633862</v>
      </c>
      <c r="J6" s="4">
        <f t="shared" si="1"/>
        <v>15.648814738307362</v>
      </c>
      <c r="K6" s="4">
        <v>476</v>
      </c>
      <c r="L6" s="4" t="str">
        <f t="shared" si="2"/>
        <v>SAFE</v>
      </c>
      <c r="M6" s="11" t="s">
        <v>516</v>
      </c>
    </row>
    <row r="7" spans="1:13" ht="14.4" x14ac:dyDescent="0.3">
      <c r="A7" s="7" t="s">
        <v>169</v>
      </c>
      <c r="B7" s="7" t="s">
        <v>170</v>
      </c>
      <c r="C7" s="7" t="s">
        <v>100</v>
      </c>
      <c r="D7" s="7" t="s">
        <v>44</v>
      </c>
      <c r="E7" s="7">
        <v>1401</v>
      </c>
      <c r="F7" s="7">
        <v>2550</v>
      </c>
      <c r="G7" s="8">
        <v>11865847.199999999</v>
      </c>
      <c r="H7" s="8">
        <f>E7*'Raw Data'!Z6</f>
        <v>87506.46</v>
      </c>
      <c r="I7" s="9">
        <f t="shared" si="0"/>
        <v>135.59967115570666</v>
      </c>
      <c r="J7" s="7">
        <f t="shared" si="1"/>
        <v>2.6917469407494141</v>
      </c>
      <c r="K7" s="7">
        <v>748</v>
      </c>
      <c r="L7" s="7" t="str">
        <f t="shared" si="2"/>
        <v>WATCH</v>
      </c>
      <c r="M7" s="11" t="s">
        <v>516</v>
      </c>
    </row>
    <row r="8" spans="1:13" ht="14.4" x14ac:dyDescent="0.3">
      <c r="A8" s="4" t="s">
        <v>41</v>
      </c>
      <c r="B8" s="4" t="s">
        <v>42</v>
      </c>
      <c r="C8" s="4" t="s">
        <v>43</v>
      </c>
      <c r="D8" s="4" t="s">
        <v>44</v>
      </c>
      <c r="E8" s="4">
        <v>2288</v>
      </c>
      <c r="F8" s="4">
        <v>867</v>
      </c>
      <c r="G8" s="5">
        <v>11279710.91</v>
      </c>
      <c r="H8" s="5">
        <f>E8*'Raw Data'!Z7</f>
        <v>460254.08</v>
      </c>
      <c r="I8" s="6">
        <f t="shared" si="0"/>
        <v>24.507573968708762</v>
      </c>
      <c r="J8" s="4">
        <f t="shared" si="1"/>
        <v>14.893355028369252</v>
      </c>
      <c r="K8" s="4">
        <v>472</v>
      </c>
      <c r="L8" s="4" t="str">
        <f t="shared" si="2"/>
        <v>SAFE</v>
      </c>
      <c r="M8" s="11" t="s">
        <v>516</v>
      </c>
    </row>
    <row r="9" spans="1:13" ht="14.4" x14ac:dyDescent="0.3">
      <c r="A9" s="7" t="s">
        <v>98</v>
      </c>
      <c r="B9" s="7" t="s">
        <v>99</v>
      </c>
      <c r="C9" s="7" t="s">
        <v>100</v>
      </c>
      <c r="D9" s="7" t="s">
        <v>128</v>
      </c>
      <c r="E9" s="7">
        <v>1352</v>
      </c>
      <c r="F9" s="7">
        <v>1901</v>
      </c>
      <c r="G9" s="8">
        <v>11277542.619999999</v>
      </c>
      <c r="H9" s="8">
        <f>E9*'Raw Data'!Z8</f>
        <v>92422.720000000001</v>
      </c>
      <c r="I9" s="9">
        <f t="shared" si="0"/>
        <v>122.02132354468684</v>
      </c>
      <c r="J9" s="7">
        <f t="shared" si="1"/>
        <v>2.9912804532588857</v>
      </c>
      <c r="K9" s="7">
        <v>569</v>
      </c>
      <c r="L9" s="7" t="str">
        <f t="shared" si="2"/>
        <v>SAFE</v>
      </c>
      <c r="M9" s="11" t="s">
        <v>516</v>
      </c>
    </row>
    <row r="10" spans="1:13" ht="14.4" x14ac:dyDescent="0.3">
      <c r="A10" s="4" t="s">
        <v>41</v>
      </c>
      <c r="B10" s="4" t="s">
        <v>42</v>
      </c>
      <c r="C10" s="4" t="s">
        <v>43</v>
      </c>
      <c r="D10" s="4" t="s">
        <v>55</v>
      </c>
      <c r="E10" s="4">
        <v>1977</v>
      </c>
      <c r="F10" s="4">
        <v>1194</v>
      </c>
      <c r="G10" s="5">
        <v>8778741.4000000004</v>
      </c>
      <c r="H10" s="5">
        <f>E10*'Raw Data'!Z9</f>
        <v>11587671.48</v>
      </c>
      <c r="I10" s="6">
        <f t="shared" si="0"/>
        <v>0.75759322441543708</v>
      </c>
      <c r="J10" s="4">
        <f t="shared" si="1"/>
        <v>481.78889176528196</v>
      </c>
      <c r="K10" s="4">
        <v>708</v>
      </c>
      <c r="L10" s="4" t="str">
        <f t="shared" si="2"/>
        <v>SAFE</v>
      </c>
      <c r="M10" s="11" t="s">
        <v>516</v>
      </c>
    </row>
    <row r="11" spans="1:13" ht="14.4" x14ac:dyDescent="0.3">
      <c r="A11" s="7" t="s">
        <v>98</v>
      </c>
      <c r="B11" s="7" t="s">
        <v>99</v>
      </c>
      <c r="C11" s="7" t="s">
        <v>100</v>
      </c>
      <c r="D11" s="7" t="s">
        <v>44</v>
      </c>
      <c r="E11" s="7">
        <v>1600</v>
      </c>
      <c r="F11" s="7">
        <v>1234</v>
      </c>
      <c r="G11" s="8">
        <v>7279215.04</v>
      </c>
      <c r="H11" s="8">
        <f>E11*'Raw Data'!Z10</f>
        <v>795280</v>
      </c>
      <c r="I11" s="9">
        <f t="shared" si="0"/>
        <v>9.1530216276028575</v>
      </c>
      <c r="J11" s="7">
        <f t="shared" si="1"/>
        <v>39.877541521290183</v>
      </c>
      <c r="K11" s="7">
        <v>413</v>
      </c>
      <c r="L11" s="7" t="str">
        <f t="shared" si="2"/>
        <v>SAFE</v>
      </c>
      <c r="M11" s="11" t="s">
        <v>516</v>
      </c>
    </row>
    <row r="12" spans="1:13" ht="14.4" x14ac:dyDescent="0.3">
      <c r="A12" s="4" t="s">
        <v>169</v>
      </c>
      <c r="B12" s="4" t="s">
        <v>170</v>
      </c>
      <c r="C12" s="4" t="s">
        <v>100</v>
      </c>
      <c r="D12" s="4" t="s">
        <v>66</v>
      </c>
      <c r="E12" s="4">
        <v>1282</v>
      </c>
      <c r="F12" s="4">
        <v>1288</v>
      </c>
      <c r="G12" s="5">
        <v>7194601.7300000004</v>
      </c>
      <c r="H12" s="5">
        <f>E12*'Raw Data'!Z11</f>
        <v>805313.94</v>
      </c>
      <c r="I12" s="6">
        <f t="shared" si="0"/>
        <v>8.9339093397538871</v>
      </c>
      <c r="J12" s="4">
        <f t="shared" si="1"/>
        <v>40.855574655971949</v>
      </c>
      <c r="K12" s="4">
        <v>574</v>
      </c>
      <c r="L12" s="4" t="str">
        <f t="shared" si="2"/>
        <v>SAFE</v>
      </c>
      <c r="M12" s="11" t="s">
        <v>516</v>
      </c>
    </row>
    <row r="13" spans="1:13" ht="14.4" x14ac:dyDescent="0.3">
      <c r="A13" s="7" t="s">
        <v>98</v>
      </c>
      <c r="B13" s="7" t="s">
        <v>99</v>
      </c>
      <c r="C13" s="7" t="s">
        <v>100</v>
      </c>
      <c r="D13" s="7" t="s">
        <v>113</v>
      </c>
      <c r="E13" s="7">
        <v>1241</v>
      </c>
      <c r="F13" s="7">
        <v>1217</v>
      </c>
      <c r="G13" s="8">
        <v>6204200.3600000003</v>
      </c>
      <c r="H13" s="8">
        <f>E13*'Raw Data'!Z12</f>
        <v>2188069.15</v>
      </c>
      <c r="I13" s="9">
        <f t="shared" si="0"/>
        <v>2.8354681386554903</v>
      </c>
      <c r="J13" s="7">
        <f t="shared" si="1"/>
        <v>128.72653902331419</v>
      </c>
      <c r="K13" s="7">
        <v>807</v>
      </c>
      <c r="L13" s="7" t="str">
        <f t="shared" si="2"/>
        <v>WATCH</v>
      </c>
      <c r="M13" s="11" t="s">
        <v>516</v>
      </c>
    </row>
    <row r="14" spans="1:13" ht="14.4" x14ac:dyDescent="0.3">
      <c r="A14" s="4" t="s">
        <v>187</v>
      </c>
      <c r="B14" s="4" t="s">
        <v>188</v>
      </c>
      <c r="C14" s="4" t="s">
        <v>100</v>
      </c>
      <c r="D14" s="4" t="s">
        <v>55</v>
      </c>
      <c r="E14" s="4">
        <v>1697</v>
      </c>
      <c r="F14" s="4">
        <v>1779</v>
      </c>
      <c r="G14" s="5">
        <v>6004605.7599999998</v>
      </c>
      <c r="H14" s="5">
        <f>E14*'Raw Data'!Z13</f>
        <v>3105340.3000000003</v>
      </c>
      <c r="I14" s="6">
        <f t="shared" si="0"/>
        <v>1.9336385645077285</v>
      </c>
      <c r="J14" s="4">
        <f t="shared" si="1"/>
        <v>188.76330183915357</v>
      </c>
      <c r="K14" s="4">
        <v>439</v>
      </c>
      <c r="L14" s="4" t="str">
        <f t="shared" si="2"/>
        <v>SAFE</v>
      </c>
      <c r="M14" s="11" t="s">
        <v>516</v>
      </c>
    </row>
    <row r="15" spans="1:13" ht="14.4" x14ac:dyDescent="0.3">
      <c r="A15" s="7" t="s">
        <v>117</v>
      </c>
      <c r="B15" s="7" t="s">
        <v>118</v>
      </c>
      <c r="C15" s="7" t="s">
        <v>87</v>
      </c>
      <c r="D15" s="7" t="s">
        <v>128</v>
      </c>
      <c r="E15" s="7">
        <v>1697</v>
      </c>
      <c r="F15" s="7">
        <v>2625</v>
      </c>
      <c r="G15" s="8">
        <v>5877436.9500000002</v>
      </c>
      <c r="H15" s="8">
        <f>E15*'Raw Data'!Z14</f>
        <v>3949292.34</v>
      </c>
      <c r="I15" s="9">
        <f t="shared" si="0"/>
        <v>1.4882253436827115</v>
      </c>
      <c r="J15" s="7">
        <f t="shared" si="1"/>
        <v>245.2585568102096</v>
      </c>
      <c r="K15" s="7">
        <v>467</v>
      </c>
      <c r="L15" s="7" t="str">
        <f t="shared" si="2"/>
        <v>SAFE</v>
      </c>
      <c r="M15" s="12" t="s">
        <v>517</v>
      </c>
    </row>
    <row r="16" spans="1:13" ht="14.4" x14ac:dyDescent="0.3">
      <c r="A16" s="4" t="s">
        <v>125</v>
      </c>
      <c r="B16" s="4" t="s">
        <v>126</v>
      </c>
      <c r="C16" s="4" t="s">
        <v>127</v>
      </c>
      <c r="D16" s="4" t="s">
        <v>44</v>
      </c>
      <c r="E16" s="4">
        <v>1932</v>
      </c>
      <c r="F16" s="4">
        <v>1787</v>
      </c>
      <c r="G16" s="5">
        <v>5422310.2999999998</v>
      </c>
      <c r="H16" s="5">
        <f>E16*'Raw Data'!Z15</f>
        <v>948708.6</v>
      </c>
      <c r="I16" s="6">
        <f t="shared" si="0"/>
        <v>5.7154644745499299</v>
      </c>
      <c r="J16" s="4">
        <f t="shared" si="1"/>
        <v>63.861826387914398</v>
      </c>
      <c r="K16" s="4">
        <v>418</v>
      </c>
      <c r="L16" s="4" t="str">
        <f t="shared" si="2"/>
        <v>SAFE</v>
      </c>
      <c r="M16" s="12" t="s">
        <v>517</v>
      </c>
    </row>
    <row r="17" spans="1:13" ht="14.4" x14ac:dyDescent="0.3">
      <c r="A17" s="7" t="s">
        <v>125</v>
      </c>
      <c r="B17" s="7" t="s">
        <v>126</v>
      </c>
      <c r="C17" s="7" t="s">
        <v>127</v>
      </c>
      <c r="D17" s="7" t="s">
        <v>113</v>
      </c>
      <c r="E17" s="7">
        <v>796</v>
      </c>
      <c r="F17" s="7">
        <v>2289</v>
      </c>
      <c r="G17" s="8">
        <v>5232385.4400000004</v>
      </c>
      <c r="H17" s="8">
        <f>E17*'Raw Data'!Z16</f>
        <v>1034593.04</v>
      </c>
      <c r="I17" s="9">
        <f t="shared" si="0"/>
        <v>5.0574334426220382</v>
      </c>
      <c r="J17" s="7">
        <f t="shared" si="1"/>
        <v>72.170994268342739</v>
      </c>
      <c r="K17" s="7">
        <v>511</v>
      </c>
      <c r="L17" s="7" t="str">
        <f t="shared" si="2"/>
        <v>WATCH</v>
      </c>
      <c r="M17" s="12" t="s">
        <v>517</v>
      </c>
    </row>
    <row r="18" spans="1:13" ht="14.4" x14ac:dyDescent="0.3">
      <c r="A18" s="4" t="s">
        <v>41</v>
      </c>
      <c r="B18" s="4" t="s">
        <v>42</v>
      </c>
      <c r="C18" s="4" t="s">
        <v>43</v>
      </c>
      <c r="D18" s="4" t="s">
        <v>128</v>
      </c>
      <c r="E18" s="4">
        <v>37</v>
      </c>
      <c r="F18" s="4">
        <v>447</v>
      </c>
      <c r="G18" s="5">
        <v>5006552.88</v>
      </c>
      <c r="H18" s="5">
        <f>E18*'Raw Data'!Z17</f>
        <v>13763.26</v>
      </c>
      <c r="I18" s="6">
        <f t="shared" si="0"/>
        <v>363.76213774934132</v>
      </c>
      <c r="J18" s="4">
        <f t="shared" si="1"/>
        <v>1.0034029441830246</v>
      </c>
      <c r="K18" s="4">
        <v>372</v>
      </c>
      <c r="L18" s="4" t="str">
        <f t="shared" si="2"/>
        <v>HIGH RISK</v>
      </c>
      <c r="M18" s="12" t="s">
        <v>517</v>
      </c>
    </row>
    <row r="19" spans="1:13" ht="14.4" x14ac:dyDescent="0.3">
      <c r="A19" s="7" t="s">
        <v>169</v>
      </c>
      <c r="B19" s="7" t="s">
        <v>170</v>
      </c>
      <c r="C19" s="7" t="s">
        <v>100</v>
      </c>
      <c r="D19" s="7" t="s">
        <v>55</v>
      </c>
      <c r="E19" s="7">
        <v>1350</v>
      </c>
      <c r="F19" s="7">
        <v>802</v>
      </c>
      <c r="G19" s="8">
        <v>4745798.8899999997</v>
      </c>
      <c r="H19" s="8">
        <f>E19*'Raw Data'!Z18</f>
        <v>2190834</v>
      </c>
      <c r="I19" s="9">
        <f t="shared" si="0"/>
        <v>2.1662065177005649</v>
      </c>
      <c r="J19" s="7">
        <f t="shared" si="1"/>
        <v>168.49732332420857</v>
      </c>
      <c r="K19" s="7">
        <v>453</v>
      </c>
      <c r="L19" s="7" t="str">
        <f t="shared" si="2"/>
        <v>SAFE</v>
      </c>
      <c r="M19" s="12" t="s">
        <v>517</v>
      </c>
    </row>
    <row r="20" spans="1:13" ht="14.4" x14ac:dyDescent="0.3">
      <c r="A20" s="4" t="s">
        <v>41</v>
      </c>
      <c r="B20" s="4" t="s">
        <v>42</v>
      </c>
      <c r="C20" s="4" t="s">
        <v>43</v>
      </c>
      <c r="D20" s="4" t="s">
        <v>113</v>
      </c>
      <c r="E20" s="4">
        <v>2122</v>
      </c>
      <c r="F20" s="4">
        <v>372</v>
      </c>
      <c r="G20" s="5">
        <v>4569609.9800000004</v>
      </c>
      <c r="H20" s="5">
        <f>E20*'Raw Data'!Z19</f>
        <v>5998257.3999999994</v>
      </c>
      <c r="I20" s="6">
        <f t="shared" si="0"/>
        <v>0.76182292210400993</v>
      </c>
      <c r="J20" s="4">
        <f t="shared" si="1"/>
        <v>479.11396390113788</v>
      </c>
      <c r="K20" s="4">
        <v>444</v>
      </c>
      <c r="L20" s="4" t="str">
        <f t="shared" si="2"/>
        <v>SAFE</v>
      </c>
      <c r="M20" s="12" t="s">
        <v>517</v>
      </c>
    </row>
    <row r="21" spans="1:13" ht="15.75" customHeight="1" x14ac:dyDescent="0.3">
      <c r="A21" s="7" t="s">
        <v>120</v>
      </c>
      <c r="B21" s="7" t="s">
        <v>121</v>
      </c>
      <c r="C21" s="7" t="s">
        <v>43</v>
      </c>
      <c r="D21" s="7" t="s">
        <v>55</v>
      </c>
      <c r="E21" s="7">
        <v>2035</v>
      </c>
      <c r="F21" s="7">
        <v>2530</v>
      </c>
      <c r="G21" s="8">
        <v>4308198.21</v>
      </c>
      <c r="H21" s="8">
        <f>E21*'Raw Data'!Z20</f>
        <v>116707.25</v>
      </c>
      <c r="I21" s="9">
        <f t="shared" si="0"/>
        <v>36.914572230945375</v>
      </c>
      <c r="J21" s="7">
        <f t="shared" si="1"/>
        <v>9.887694152772049</v>
      </c>
      <c r="K21" s="7">
        <v>732</v>
      </c>
      <c r="L21" s="7" t="str">
        <f t="shared" si="2"/>
        <v>SAFE</v>
      </c>
      <c r="M21" s="12" t="s">
        <v>517</v>
      </c>
    </row>
    <row r="22" spans="1:13" ht="15.75" customHeight="1" x14ac:dyDescent="0.3">
      <c r="A22" s="4" t="s">
        <v>117</v>
      </c>
      <c r="B22" s="4" t="s">
        <v>118</v>
      </c>
      <c r="C22" s="4" t="s">
        <v>87</v>
      </c>
      <c r="D22" s="4" t="s">
        <v>44</v>
      </c>
      <c r="E22" s="4">
        <v>1247</v>
      </c>
      <c r="F22" s="4">
        <v>2329</v>
      </c>
      <c r="G22" s="5">
        <v>3830528.99</v>
      </c>
      <c r="H22" s="5">
        <f>E22*'Raw Data'!Z21</f>
        <v>2213400.06</v>
      </c>
      <c r="I22" s="6">
        <f t="shared" si="0"/>
        <v>1.7306085145764387</v>
      </c>
      <c r="J22" s="4">
        <f t="shared" si="1"/>
        <v>210.90847347953368</v>
      </c>
      <c r="K22" s="4">
        <v>570</v>
      </c>
      <c r="L22" s="4" t="str">
        <f t="shared" si="2"/>
        <v>SAFE</v>
      </c>
      <c r="M22" s="12" t="s">
        <v>517</v>
      </c>
    </row>
    <row r="23" spans="1:13" ht="15.75" customHeight="1" x14ac:dyDescent="0.3">
      <c r="A23" s="7" t="s">
        <v>125</v>
      </c>
      <c r="B23" s="7" t="s">
        <v>126</v>
      </c>
      <c r="C23" s="7" t="s">
        <v>127</v>
      </c>
      <c r="D23" s="7" t="s">
        <v>55</v>
      </c>
      <c r="E23" s="7">
        <v>1590</v>
      </c>
      <c r="F23" s="7">
        <v>734</v>
      </c>
      <c r="G23" s="8">
        <v>3739084.17</v>
      </c>
      <c r="H23" s="8">
        <f>E23*'Raw Data'!Z22</f>
        <v>571589.1</v>
      </c>
      <c r="I23" s="9">
        <f t="shared" si="0"/>
        <v>6.5415596098665985</v>
      </c>
      <c r="J23" s="7">
        <f t="shared" si="1"/>
        <v>55.797091484035782</v>
      </c>
      <c r="K23" s="7">
        <v>436</v>
      </c>
      <c r="L23" s="7" t="str">
        <f t="shared" si="2"/>
        <v>SAFE</v>
      </c>
      <c r="M23" s="12" t="s">
        <v>517</v>
      </c>
    </row>
    <row r="24" spans="1:13" ht="15.75" customHeight="1" x14ac:dyDescent="0.3">
      <c r="A24" s="4" t="s">
        <v>187</v>
      </c>
      <c r="B24" s="4" t="s">
        <v>188</v>
      </c>
      <c r="C24" s="4" t="s">
        <v>100</v>
      </c>
      <c r="D24" s="4" t="s">
        <v>66</v>
      </c>
      <c r="E24" s="4">
        <v>2399</v>
      </c>
      <c r="F24" s="4">
        <v>1314</v>
      </c>
      <c r="G24" s="5">
        <v>3388050.62</v>
      </c>
      <c r="H24" s="5">
        <f>E24*'Raw Data'!Z23</f>
        <v>6362339.9199999999</v>
      </c>
      <c r="I24" s="6">
        <f t="shared" si="0"/>
        <v>0.53251644247263041</v>
      </c>
      <c r="J24" s="4">
        <f t="shared" si="1"/>
        <v>685.42484492159099</v>
      </c>
      <c r="K24" s="4">
        <v>572</v>
      </c>
      <c r="L24" s="4" t="str">
        <f t="shared" si="2"/>
        <v>SAFE</v>
      </c>
      <c r="M24" s="12" t="s">
        <v>517</v>
      </c>
    </row>
    <row r="25" spans="1:13" ht="15.75" customHeight="1" x14ac:dyDescent="0.3">
      <c r="A25" s="7" t="s">
        <v>125</v>
      </c>
      <c r="B25" s="7" t="s">
        <v>126</v>
      </c>
      <c r="C25" s="7" t="s">
        <v>127</v>
      </c>
      <c r="D25" s="7" t="s">
        <v>128</v>
      </c>
      <c r="E25" s="7">
        <v>1863</v>
      </c>
      <c r="F25" s="7">
        <v>922</v>
      </c>
      <c r="G25" s="8">
        <v>3166360.83</v>
      </c>
      <c r="H25" s="8">
        <f>E25*'Raw Data'!Z24</f>
        <v>271252.8</v>
      </c>
      <c r="I25" s="9">
        <f t="shared" si="0"/>
        <v>11.673099153262198</v>
      </c>
      <c r="J25" s="7">
        <f t="shared" si="1"/>
        <v>31.268474225030122</v>
      </c>
      <c r="K25" s="7">
        <v>284</v>
      </c>
      <c r="L25" s="7" t="str">
        <f t="shared" si="2"/>
        <v>SAFE</v>
      </c>
      <c r="M25" s="12" t="s">
        <v>517</v>
      </c>
    </row>
    <row r="26" spans="1:13" ht="15.75" customHeight="1" x14ac:dyDescent="0.3">
      <c r="A26" s="4" t="s">
        <v>181</v>
      </c>
      <c r="B26" s="4" t="s">
        <v>182</v>
      </c>
      <c r="C26" s="4" t="s">
        <v>127</v>
      </c>
      <c r="D26" s="4" t="s">
        <v>128</v>
      </c>
      <c r="E26" s="4">
        <v>1581</v>
      </c>
      <c r="F26" s="4">
        <v>1774</v>
      </c>
      <c r="G26" s="5">
        <v>3111974.51</v>
      </c>
      <c r="H26" s="5">
        <f>E26*'Raw Data'!Z25</f>
        <v>9021802.5899999999</v>
      </c>
      <c r="I26" s="6">
        <f t="shared" si="0"/>
        <v>0.34493932658750404</v>
      </c>
      <c r="J26" s="4">
        <f t="shared" si="1"/>
        <v>1058.1571072540694</v>
      </c>
      <c r="K26" s="4">
        <v>378</v>
      </c>
      <c r="L26" s="4" t="str">
        <f t="shared" si="2"/>
        <v>SAFE</v>
      </c>
      <c r="M26" s="12" t="s">
        <v>517</v>
      </c>
    </row>
    <row r="27" spans="1:13" ht="15.75" customHeight="1" x14ac:dyDescent="0.3">
      <c r="A27" s="7" t="s">
        <v>234</v>
      </c>
      <c r="B27" s="7" t="s">
        <v>235</v>
      </c>
      <c r="C27" s="7" t="s">
        <v>43</v>
      </c>
      <c r="D27" s="7" t="s">
        <v>113</v>
      </c>
      <c r="E27" s="7">
        <v>1385</v>
      </c>
      <c r="F27" s="7">
        <v>3022</v>
      </c>
      <c r="G27" s="8">
        <v>2974050.48</v>
      </c>
      <c r="H27" s="8">
        <f>E27*'Raw Data'!Z26</f>
        <v>42935</v>
      </c>
      <c r="I27" s="9">
        <f t="shared" si="0"/>
        <v>69.268673110515891</v>
      </c>
      <c r="J27" s="7">
        <f t="shared" si="1"/>
        <v>5.2693372575168933</v>
      </c>
      <c r="K27" s="7">
        <v>584</v>
      </c>
      <c r="L27" s="7" t="str">
        <f t="shared" si="2"/>
        <v>SAFE</v>
      </c>
      <c r="M27" s="12" t="s">
        <v>517</v>
      </c>
    </row>
    <row r="28" spans="1:13" ht="15.75" customHeight="1" x14ac:dyDescent="0.3">
      <c r="A28" s="4" t="s">
        <v>133</v>
      </c>
      <c r="B28" s="4" t="s">
        <v>134</v>
      </c>
      <c r="C28" s="4" t="s">
        <v>100</v>
      </c>
      <c r="D28" s="4" t="s">
        <v>128</v>
      </c>
      <c r="E28" s="4">
        <v>801</v>
      </c>
      <c r="F28" s="4">
        <v>1217</v>
      </c>
      <c r="G28" s="5">
        <v>2736817.04</v>
      </c>
      <c r="H28" s="5">
        <f>E28*'Raw Data'!Z27</f>
        <v>44103.060000000005</v>
      </c>
      <c r="I28" s="6">
        <f t="shared" si="0"/>
        <v>62.055037450916096</v>
      </c>
      <c r="J28" s="4">
        <f t="shared" si="1"/>
        <v>5.8818754285452721</v>
      </c>
      <c r="K28" s="4">
        <v>517</v>
      </c>
      <c r="L28" s="4" t="str">
        <f t="shared" si="2"/>
        <v>WATCH</v>
      </c>
      <c r="M28" s="12" t="s">
        <v>517</v>
      </c>
    </row>
    <row r="29" spans="1:13" ht="15.75" customHeight="1" x14ac:dyDescent="0.3">
      <c r="A29" s="7" t="s">
        <v>120</v>
      </c>
      <c r="B29" s="7" t="s">
        <v>121</v>
      </c>
      <c r="C29" s="7" t="s">
        <v>43</v>
      </c>
      <c r="D29" s="7" t="s">
        <v>113</v>
      </c>
      <c r="E29" s="7">
        <v>1661</v>
      </c>
      <c r="F29" s="7">
        <v>1743</v>
      </c>
      <c r="G29" s="8">
        <v>2683529.69</v>
      </c>
      <c r="H29" s="8">
        <f>E29*'Raw Data'!Z28</f>
        <v>2490088.1500000004</v>
      </c>
      <c r="I29" s="9">
        <f t="shared" si="0"/>
        <v>1.077684615301671</v>
      </c>
      <c r="J29" s="7">
        <f t="shared" si="1"/>
        <v>338.68906989808642</v>
      </c>
      <c r="K29" s="7">
        <v>601</v>
      </c>
      <c r="L29" s="7" t="str">
        <f t="shared" si="2"/>
        <v>SAFE</v>
      </c>
      <c r="M29" s="12" t="s">
        <v>517</v>
      </c>
    </row>
    <row r="30" spans="1:13" ht="15.75" customHeight="1" x14ac:dyDescent="0.3">
      <c r="A30" s="4" t="s">
        <v>120</v>
      </c>
      <c r="B30" s="4" t="s">
        <v>121</v>
      </c>
      <c r="C30" s="4" t="s">
        <v>43</v>
      </c>
      <c r="D30" s="4" t="s">
        <v>44</v>
      </c>
      <c r="E30" s="4">
        <v>2394</v>
      </c>
      <c r="F30" s="4">
        <v>1162</v>
      </c>
      <c r="G30" s="5">
        <v>2620624.0499999998</v>
      </c>
      <c r="H30" s="5">
        <f>E30*'Raw Data'!Z29</f>
        <v>6265624.6799999997</v>
      </c>
      <c r="I30" s="6">
        <f t="shared" si="0"/>
        <v>0.41825423383004168</v>
      </c>
      <c r="J30" s="4">
        <f t="shared" si="1"/>
        <v>872.67496770473429</v>
      </c>
      <c r="K30" s="4">
        <v>475</v>
      </c>
      <c r="L30" s="4" t="str">
        <f t="shared" si="2"/>
        <v>SAFE</v>
      </c>
      <c r="M30" s="12" t="s">
        <v>517</v>
      </c>
    </row>
    <row r="31" spans="1:13" ht="15.75" customHeight="1" x14ac:dyDescent="0.3">
      <c r="A31" s="7" t="s">
        <v>133</v>
      </c>
      <c r="B31" s="7" t="s">
        <v>134</v>
      </c>
      <c r="C31" s="7" t="s">
        <v>100</v>
      </c>
      <c r="D31" s="7" t="s">
        <v>113</v>
      </c>
      <c r="E31" s="7">
        <v>1999</v>
      </c>
      <c r="F31" s="7">
        <v>1360</v>
      </c>
      <c r="G31" s="8">
        <v>2552542.37</v>
      </c>
      <c r="H31" s="8">
        <f>E31*'Raw Data'!Z30</f>
        <v>9700127.5099999998</v>
      </c>
      <c r="I31" s="9">
        <f t="shared" si="0"/>
        <v>0.26314523879903101</v>
      </c>
      <c r="J31" s="7">
        <f t="shared" si="1"/>
        <v>1387.0667075939664</v>
      </c>
      <c r="K31" s="7">
        <v>436</v>
      </c>
      <c r="L31" s="7" t="str">
        <f t="shared" si="2"/>
        <v>SAFE</v>
      </c>
      <c r="M31" s="12" t="s">
        <v>517</v>
      </c>
    </row>
    <row r="32" spans="1:13" ht="15.75" customHeight="1" x14ac:dyDescent="0.3">
      <c r="A32" s="4" t="s">
        <v>187</v>
      </c>
      <c r="B32" s="4" t="s">
        <v>188</v>
      </c>
      <c r="C32" s="4" t="s">
        <v>100</v>
      </c>
      <c r="D32" s="4" t="s">
        <v>128</v>
      </c>
      <c r="E32" s="4">
        <v>2086</v>
      </c>
      <c r="F32" s="4">
        <v>912</v>
      </c>
      <c r="G32" s="5">
        <v>2497593.75</v>
      </c>
      <c r="H32" s="5">
        <f>E32*'Raw Data'!Z31</f>
        <v>681892.53999999992</v>
      </c>
      <c r="I32" s="6">
        <f t="shared" si="0"/>
        <v>3.6627380466722812</v>
      </c>
      <c r="J32" s="4">
        <f t="shared" si="1"/>
        <v>99.652226107628579</v>
      </c>
      <c r="K32" s="4">
        <v>373</v>
      </c>
      <c r="L32" s="4" t="str">
        <f t="shared" si="2"/>
        <v>SAFE</v>
      </c>
      <c r="M32" s="12" t="s">
        <v>517</v>
      </c>
    </row>
    <row r="33" spans="1:13" ht="15.75" customHeight="1" x14ac:dyDescent="0.3">
      <c r="A33" s="7" t="s">
        <v>133</v>
      </c>
      <c r="B33" s="7" t="s">
        <v>134</v>
      </c>
      <c r="C33" s="7" t="s">
        <v>100</v>
      </c>
      <c r="D33" s="7" t="s">
        <v>66</v>
      </c>
      <c r="E33" s="7">
        <v>1160</v>
      </c>
      <c r="F33" s="7">
        <v>1984</v>
      </c>
      <c r="G33" s="8">
        <v>2490475.52</v>
      </c>
      <c r="H33" s="8">
        <f>E33*'Raw Data'!Z32</f>
        <v>403877.2</v>
      </c>
      <c r="I33" s="9">
        <f t="shared" si="0"/>
        <v>6.1664177131068554</v>
      </c>
      <c r="J33" s="7">
        <f t="shared" si="1"/>
        <v>59.191578803392531</v>
      </c>
      <c r="K33" s="7">
        <v>456</v>
      </c>
      <c r="L33" s="7" t="str">
        <f t="shared" si="2"/>
        <v>SAFE</v>
      </c>
      <c r="M33" s="12" t="s">
        <v>517</v>
      </c>
    </row>
    <row r="34" spans="1:13" ht="15.75" customHeight="1" x14ac:dyDescent="0.3">
      <c r="A34" s="4" t="s">
        <v>117</v>
      </c>
      <c r="B34" s="4" t="s">
        <v>118</v>
      </c>
      <c r="C34" s="4" t="s">
        <v>87</v>
      </c>
      <c r="D34" s="4" t="s">
        <v>55</v>
      </c>
      <c r="E34" s="4">
        <v>1959</v>
      </c>
      <c r="F34" s="4">
        <v>1305</v>
      </c>
      <c r="G34" s="5">
        <v>2483260.27</v>
      </c>
      <c r="H34" s="5">
        <f>E34*'Raw Data'!Z33</f>
        <v>373052.37</v>
      </c>
      <c r="I34" s="6">
        <f t="shared" si="0"/>
        <v>6.6565996350592815</v>
      </c>
      <c r="J34" s="4">
        <f t="shared" si="1"/>
        <v>54.832800530409159</v>
      </c>
      <c r="K34" s="4">
        <v>575</v>
      </c>
      <c r="L34" s="4" t="str">
        <f t="shared" si="2"/>
        <v>SAFE</v>
      </c>
      <c r="M34" s="12" t="s">
        <v>517</v>
      </c>
    </row>
    <row r="35" spans="1:13" ht="15.75" customHeight="1" x14ac:dyDescent="0.3">
      <c r="A35" s="7" t="s">
        <v>241</v>
      </c>
      <c r="B35" s="7" t="s">
        <v>242</v>
      </c>
      <c r="C35" s="7" t="s">
        <v>100</v>
      </c>
      <c r="D35" s="7" t="s">
        <v>66</v>
      </c>
      <c r="E35" s="7">
        <v>1303</v>
      </c>
      <c r="F35" s="7">
        <v>1753</v>
      </c>
      <c r="G35" s="8">
        <v>2465909.91</v>
      </c>
      <c r="H35" s="8">
        <f>E35*'Raw Data'!Z34</f>
        <v>1616215.1400000001</v>
      </c>
      <c r="I35" s="9">
        <f t="shared" si="0"/>
        <v>1.5257312278364128</v>
      </c>
      <c r="J35" s="7">
        <f t="shared" si="1"/>
        <v>239.22955324024795</v>
      </c>
      <c r="K35" s="7">
        <v>513</v>
      </c>
      <c r="L35" s="7" t="str">
        <f t="shared" si="2"/>
        <v>SAFE</v>
      </c>
      <c r="M35" s="12" t="s">
        <v>517</v>
      </c>
    </row>
    <row r="36" spans="1:13" ht="15.75" customHeight="1" x14ac:dyDescent="0.3">
      <c r="A36" s="4" t="s">
        <v>181</v>
      </c>
      <c r="B36" s="4" t="s">
        <v>182</v>
      </c>
      <c r="C36" s="4" t="s">
        <v>127</v>
      </c>
      <c r="D36" s="4" t="s">
        <v>66</v>
      </c>
      <c r="E36" s="4">
        <v>2067</v>
      </c>
      <c r="F36" s="4">
        <v>1708</v>
      </c>
      <c r="G36" s="5">
        <v>2370174.84</v>
      </c>
      <c r="H36" s="5">
        <f>E36*'Raw Data'!Z35</f>
        <v>3725333.4299999997</v>
      </c>
      <c r="I36" s="6">
        <f t="shared" si="0"/>
        <v>0.63623159766399762</v>
      </c>
      <c r="J36" s="4">
        <f t="shared" si="1"/>
        <v>573.69046325291333</v>
      </c>
      <c r="K36" s="4">
        <v>625</v>
      </c>
      <c r="L36" s="4" t="str">
        <f t="shared" si="2"/>
        <v>SAFE</v>
      </c>
      <c r="M36" s="12" t="s">
        <v>517</v>
      </c>
    </row>
    <row r="37" spans="1:13" ht="15.75" customHeight="1" x14ac:dyDescent="0.3">
      <c r="A37" s="7" t="s">
        <v>53</v>
      </c>
      <c r="B37" s="7" t="s">
        <v>54</v>
      </c>
      <c r="C37" s="7" t="s">
        <v>43</v>
      </c>
      <c r="D37" s="7" t="s">
        <v>44</v>
      </c>
      <c r="E37" s="7">
        <v>1782</v>
      </c>
      <c r="F37" s="7">
        <v>4234</v>
      </c>
      <c r="G37" s="8">
        <v>2368712.5</v>
      </c>
      <c r="H37" s="8">
        <f>E37*'Raw Data'!Z36</f>
        <v>3028651.56</v>
      </c>
      <c r="I37" s="9">
        <f t="shared" si="0"/>
        <v>0.78210135866537256</v>
      </c>
      <c r="J37" s="7">
        <f t="shared" si="1"/>
        <v>466.69142810704125</v>
      </c>
      <c r="K37" s="7">
        <v>748</v>
      </c>
      <c r="L37" s="7" t="str">
        <f t="shared" si="2"/>
        <v>SAFE</v>
      </c>
      <c r="M37" s="12" t="s">
        <v>517</v>
      </c>
    </row>
    <row r="38" spans="1:13" ht="15.75" customHeight="1" x14ac:dyDescent="0.3">
      <c r="A38" s="4" t="s">
        <v>133</v>
      </c>
      <c r="B38" s="4" t="s">
        <v>134</v>
      </c>
      <c r="C38" s="4" t="s">
        <v>100</v>
      </c>
      <c r="D38" s="4" t="s">
        <v>44</v>
      </c>
      <c r="E38" s="4">
        <v>1631</v>
      </c>
      <c r="F38" s="4">
        <v>1609</v>
      </c>
      <c r="G38" s="5">
        <v>2347924.6</v>
      </c>
      <c r="H38" s="5">
        <f>E38*'Raw Data'!Z37</f>
        <v>2100760.62</v>
      </c>
      <c r="I38" s="6">
        <f t="shared" si="0"/>
        <v>1.1176545188665998</v>
      </c>
      <c r="J38" s="4">
        <f t="shared" si="1"/>
        <v>326.57676754185377</v>
      </c>
      <c r="K38" s="4">
        <v>394</v>
      </c>
      <c r="L38" s="4" t="str">
        <f t="shared" si="2"/>
        <v>SAFE</v>
      </c>
      <c r="M38" s="12" t="s">
        <v>517</v>
      </c>
    </row>
    <row r="39" spans="1:13" ht="15.75" customHeight="1" x14ac:dyDescent="0.3">
      <c r="A39" s="7" t="s">
        <v>187</v>
      </c>
      <c r="B39" s="7" t="s">
        <v>188</v>
      </c>
      <c r="C39" s="7" t="s">
        <v>100</v>
      </c>
      <c r="D39" s="7" t="s">
        <v>113</v>
      </c>
      <c r="E39" s="7">
        <v>1722</v>
      </c>
      <c r="F39" s="7">
        <v>397</v>
      </c>
      <c r="G39" s="8">
        <v>2292161.16</v>
      </c>
      <c r="H39" s="8">
        <f>E39*'Raw Data'!Z38</f>
        <v>5128942.5599999996</v>
      </c>
      <c r="I39" s="9">
        <f t="shared" si="0"/>
        <v>0.44690716130772973</v>
      </c>
      <c r="J39" s="7">
        <f t="shared" si="1"/>
        <v>816.7244376481799</v>
      </c>
      <c r="K39" s="7">
        <v>183</v>
      </c>
      <c r="L39" s="7" t="str">
        <f t="shared" si="2"/>
        <v>SAFE</v>
      </c>
      <c r="M39" s="12" t="s">
        <v>517</v>
      </c>
    </row>
    <row r="40" spans="1:13" ht="15.75" customHeight="1" x14ac:dyDescent="0.3">
      <c r="A40" s="4" t="s">
        <v>187</v>
      </c>
      <c r="B40" s="4" t="s">
        <v>188</v>
      </c>
      <c r="C40" s="4" t="s">
        <v>100</v>
      </c>
      <c r="D40" s="4" t="s">
        <v>44</v>
      </c>
      <c r="E40" s="4">
        <v>2061</v>
      </c>
      <c r="F40" s="4">
        <v>783</v>
      </c>
      <c r="G40" s="5">
        <v>2248345.9</v>
      </c>
      <c r="H40" s="5">
        <f>E40*'Raw Data'!Z39</f>
        <v>306944.73000000004</v>
      </c>
      <c r="I40" s="6">
        <f t="shared" si="0"/>
        <v>7.3249210045078783</v>
      </c>
      <c r="J40" s="4">
        <f t="shared" si="1"/>
        <v>49.829888919672022</v>
      </c>
      <c r="K40" s="4">
        <v>367</v>
      </c>
      <c r="L40" s="4" t="str">
        <f t="shared" si="2"/>
        <v>SAFE</v>
      </c>
      <c r="M40" s="12" t="s">
        <v>517</v>
      </c>
    </row>
    <row r="41" spans="1:13" ht="15.75" customHeight="1" x14ac:dyDescent="0.3">
      <c r="A41" s="7" t="s">
        <v>234</v>
      </c>
      <c r="B41" s="7" t="s">
        <v>235</v>
      </c>
      <c r="C41" s="7" t="s">
        <v>43</v>
      </c>
      <c r="D41" s="7" t="s">
        <v>44</v>
      </c>
      <c r="E41" s="7">
        <v>1572</v>
      </c>
      <c r="F41" s="7">
        <v>1889</v>
      </c>
      <c r="G41" s="8">
        <v>2247847.2000000002</v>
      </c>
      <c r="H41" s="8">
        <f>E41*'Raw Data'!Z40</f>
        <v>55460.160000000003</v>
      </c>
      <c r="I41" s="9">
        <f t="shared" si="0"/>
        <v>40.530845926156722</v>
      </c>
      <c r="J41" s="7">
        <f t="shared" si="1"/>
        <v>9.0054868498179061</v>
      </c>
      <c r="K41" s="7">
        <v>465</v>
      </c>
      <c r="L41" s="7" t="str">
        <f t="shared" si="2"/>
        <v>SAFE</v>
      </c>
      <c r="M41" s="12" t="s">
        <v>517</v>
      </c>
    </row>
    <row r="42" spans="1:13" ht="15.75" customHeight="1" x14ac:dyDescent="0.3">
      <c r="A42" s="4" t="s">
        <v>234</v>
      </c>
      <c r="B42" s="4" t="s">
        <v>235</v>
      </c>
      <c r="C42" s="4" t="s">
        <v>43</v>
      </c>
      <c r="D42" s="4" t="s">
        <v>55</v>
      </c>
      <c r="E42" s="4">
        <v>1950</v>
      </c>
      <c r="F42" s="4">
        <v>2439</v>
      </c>
      <c r="G42" s="5">
        <v>1891569.22</v>
      </c>
      <c r="H42" s="5">
        <f>E42*'Raw Data'!Z41</f>
        <v>17172265.5</v>
      </c>
      <c r="I42" s="6">
        <f t="shared" si="0"/>
        <v>0.11015257247216449</v>
      </c>
      <c r="J42" s="4">
        <f t="shared" si="1"/>
        <v>3313.5858002066666</v>
      </c>
      <c r="K42" s="4">
        <v>785</v>
      </c>
      <c r="L42" s="4" t="str">
        <f t="shared" si="2"/>
        <v>SAFE</v>
      </c>
      <c r="M42" s="12" t="s">
        <v>517</v>
      </c>
    </row>
    <row r="43" spans="1:13" ht="15.75" customHeight="1" x14ac:dyDescent="0.3">
      <c r="A43" s="7" t="s">
        <v>234</v>
      </c>
      <c r="B43" s="7" t="s">
        <v>235</v>
      </c>
      <c r="C43" s="7" t="s">
        <v>43</v>
      </c>
      <c r="D43" s="7" t="s">
        <v>128</v>
      </c>
      <c r="E43" s="7">
        <v>1502</v>
      </c>
      <c r="F43" s="7">
        <v>1427</v>
      </c>
      <c r="G43" s="8">
        <v>1813589.83</v>
      </c>
      <c r="H43" s="8">
        <f>E43*'Raw Data'!Z42</f>
        <v>963517.98</v>
      </c>
      <c r="I43" s="9">
        <f t="shared" si="0"/>
        <v>1.8822584192979981</v>
      </c>
      <c r="J43" s="7">
        <f t="shared" si="1"/>
        <v>193.91598744243066</v>
      </c>
      <c r="K43" s="7">
        <v>462</v>
      </c>
      <c r="L43" s="7" t="str">
        <f t="shared" si="2"/>
        <v>SAFE</v>
      </c>
      <c r="M43" s="12" t="s">
        <v>517</v>
      </c>
    </row>
    <row r="44" spans="1:13" ht="15.75" customHeight="1" x14ac:dyDescent="0.3">
      <c r="A44" s="4" t="s">
        <v>111</v>
      </c>
      <c r="B44" s="4" t="s">
        <v>112</v>
      </c>
      <c r="C44" s="4" t="s">
        <v>87</v>
      </c>
      <c r="D44" s="4" t="s">
        <v>113</v>
      </c>
      <c r="E44" s="4">
        <v>1600</v>
      </c>
      <c r="F44" s="4">
        <v>3165</v>
      </c>
      <c r="G44" s="5">
        <v>1790987.67</v>
      </c>
      <c r="H44" s="5">
        <f>E44*'Raw Data'!Z43</f>
        <v>2807152</v>
      </c>
      <c r="I44" s="6">
        <f t="shared" si="0"/>
        <v>0.63800879681613243</v>
      </c>
      <c r="J44" s="4">
        <f t="shared" si="1"/>
        <v>572.09242540458149</v>
      </c>
      <c r="K44" s="4">
        <v>470</v>
      </c>
      <c r="L44" s="4" t="str">
        <f t="shared" si="2"/>
        <v>SAFE</v>
      </c>
      <c r="M44" s="12" t="s">
        <v>517</v>
      </c>
    </row>
    <row r="45" spans="1:13" ht="15.75" customHeight="1" x14ac:dyDescent="0.3">
      <c r="A45" s="7" t="s">
        <v>133</v>
      </c>
      <c r="B45" s="7" t="s">
        <v>134</v>
      </c>
      <c r="C45" s="7" t="s">
        <v>100</v>
      </c>
      <c r="D45" s="7" t="s">
        <v>55</v>
      </c>
      <c r="E45" s="7">
        <v>1866</v>
      </c>
      <c r="F45" s="7">
        <v>996</v>
      </c>
      <c r="G45" s="8">
        <v>1775545.35</v>
      </c>
      <c r="H45" s="8">
        <f>E45*'Raw Data'!Z44</f>
        <v>2807173.08</v>
      </c>
      <c r="I45" s="9">
        <f t="shared" si="0"/>
        <v>0.6325029841052765</v>
      </c>
      <c r="J45" s="7">
        <f t="shared" si="1"/>
        <v>577.07237621387708</v>
      </c>
      <c r="K45" s="7">
        <v>361</v>
      </c>
      <c r="L45" s="7" t="str">
        <f t="shared" si="2"/>
        <v>SAFE</v>
      </c>
      <c r="M45" s="12" t="s">
        <v>517</v>
      </c>
    </row>
    <row r="46" spans="1:13" ht="15.75" customHeight="1" x14ac:dyDescent="0.3">
      <c r="A46" s="4" t="s">
        <v>181</v>
      </c>
      <c r="B46" s="4" t="s">
        <v>182</v>
      </c>
      <c r="C46" s="4" t="s">
        <v>127</v>
      </c>
      <c r="D46" s="4" t="s">
        <v>113</v>
      </c>
      <c r="E46" s="4">
        <v>1009</v>
      </c>
      <c r="F46" s="4">
        <v>869</v>
      </c>
      <c r="G46" s="5">
        <v>1761295.71</v>
      </c>
      <c r="H46" s="5">
        <f>E46*'Raw Data'!Z45</f>
        <v>2635023.6800000002</v>
      </c>
      <c r="I46" s="6">
        <f t="shared" si="0"/>
        <v>0.66841741247653597</v>
      </c>
      <c r="J46" s="4">
        <f t="shared" si="1"/>
        <v>546.06596594730831</v>
      </c>
      <c r="K46" s="4">
        <v>413</v>
      </c>
      <c r="L46" s="4" t="str">
        <f t="shared" si="2"/>
        <v>SAFE</v>
      </c>
      <c r="M46" s="12" t="s">
        <v>517</v>
      </c>
    </row>
    <row r="47" spans="1:13" ht="15.75" customHeight="1" x14ac:dyDescent="0.3">
      <c r="A47" s="7" t="s">
        <v>111</v>
      </c>
      <c r="B47" s="7" t="s">
        <v>112</v>
      </c>
      <c r="C47" s="7" t="s">
        <v>87</v>
      </c>
      <c r="D47" s="7" t="s">
        <v>128</v>
      </c>
      <c r="E47" s="7">
        <v>1668</v>
      </c>
      <c r="F47" s="7">
        <v>2337</v>
      </c>
      <c r="G47" s="8">
        <v>1697153.55</v>
      </c>
      <c r="H47" s="8">
        <f>E47*'Raw Data'!Z46</f>
        <v>8000395.1999999993</v>
      </c>
      <c r="I47" s="9">
        <f t="shared" si="0"/>
        <v>0.21213371434451142</v>
      </c>
      <c r="J47" s="7">
        <f t="shared" si="1"/>
        <v>1720.6128744214095</v>
      </c>
      <c r="K47" s="7">
        <v>403</v>
      </c>
      <c r="L47" s="7" t="str">
        <f t="shared" si="2"/>
        <v>SAFE</v>
      </c>
      <c r="M47" s="12" t="s">
        <v>517</v>
      </c>
    </row>
    <row r="48" spans="1:13" ht="15.75" customHeight="1" x14ac:dyDescent="0.3">
      <c r="A48" s="4" t="s">
        <v>241</v>
      </c>
      <c r="B48" s="4" t="s">
        <v>242</v>
      </c>
      <c r="C48" s="4" t="s">
        <v>100</v>
      </c>
      <c r="D48" s="4" t="s">
        <v>44</v>
      </c>
      <c r="E48" s="4">
        <v>1270</v>
      </c>
      <c r="F48" s="4">
        <v>2016</v>
      </c>
      <c r="G48" s="5">
        <v>1688209.07</v>
      </c>
      <c r="H48" s="5">
        <f>E48*'Raw Data'!Z47</f>
        <v>863434.9</v>
      </c>
      <c r="I48" s="6">
        <f t="shared" si="0"/>
        <v>1.9552244992645074</v>
      </c>
      <c r="J48" s="4">
        <f t="shared" si="1"/>
        <v>186.6793302443281</v>
      </c>
      <c r="K48" s="4">
        <v>993</v>
      </c>
      <c r="L48" s="4" t="str">
        <f t="shared" si="2"/>
        <v>WATCH</v>
      </c>
      <c r="M48" s="12" t="s">
        <v>517</v>
      </c>
    </row>
    <row r="49" spans="1:13" ht="15.75" customHeight="1" x14ac:dyDescent="0.3">
      <c r="A49" s="7" t="s">
        <v>241</v>
      </c>
      <c r="B49" s="7" t="s">
        <v>242</v>
      </c>
      <c r="C49" s="7" t="s">
        <v>100</v>
      </c>
      <c r="D49" s="7" t="s">
        <v>113</v>
      </c>
      <c r="E49" s="7">
        <v>1136</v>
      </c>
      <c r="F49" s="7">
        <v>1618</v>
      </c>
      <c r="G49" s="8">
        <v>1687735.8</v>
      </c>
      <c r="H49" s="8">
        <f>E49*'Raw Data'!Z48</f>
        <v>1299447.6800000002</v>
      </c>
      <c r="I49" s="9">
        <f t="shared" si="0"/>
        <v>1.2988101221589774</v>
      </c>
      <c r="J49" s="7">
        <f t="shared" si="1"/>
        <v>281.02645165197066</v>
      </c>
      <c r="K49" s="7">
        <v>434</v>
      </c>
      <c r="L49" s="7" t="str">
        <f t="shared" si="2"/>
        <v>SAFE</v>
      </c>
      <c r="M49" s="12" t="s">
        <v>517</v>
      </c>
    </row>
    <row r="50" spans="1:13" ht="15.75" customHeight="1" x14ac:dyDescent="0.3">
      <c r="A50" s="4" t="s">
        <v>111</v>
      </c>
      <c r="B50" s="4" t="s">
        <v>112</v>
      </c>
      <c r="C50" s="4" t="s">
        <v>87</v>
      </c>
      <c r="D50" s="4" t="s">
        <v>66</v>
      </c>
      <c r="E50" s="4">
        <v>1662</v>
      </c>
      <c r="F50" s="4">
        <v>1724</v>
      </c>
      <c r="G50" s="5">
        <v>1629734.69</v>
      </c>
      <c r="H50" s="5">
        <f>E50*'Raw Data'!Z49</f>
        <v>431222.51999999996</v>
      </c>
      <c r="I50" s="6">
        <f t="shared" si="0"/>
        <v>3.7793357591806664</v>
      </c>
      <c r="J50" s="4">
        <f t="shared" si="1"/>
        <v>96.577817706021818</v>
      </c>
      <c r="K50" s="4">
        <v>328</v>
      </c>
      <c r="L50" s="4" t="str">
        <f t="shared" si="2"/>
        <v>SAFE</v>
      </c>
      <c r="M50" s="12" t="s">
        <v>517</v>
      </c>
    </row>
    <row r="51" spans="1:13" ht="15.75" customHeight="1" x14ac:dyDescent="0.3">
      <c r="A51" s="7" t="s">
        <v>53</v>
      </c>
      <c r="B51" s="7" t="s">
        <v>54</v>
      </c>
      <c r="C51" s="7" t="s">
        <v>43</v>
      </c>
      <c r="D51" s="7" t="s">
        <v>113</v>
      </c>
      <c r="E51" s="7">
        <v>1400</v>
      </c>
      <c r="F51" s="7">
        <v>1767</v>
      </c>
      <c r="G51" s="8">
        <v>1367786.4</v>
      </c>
      <c r="H51" s="8">
        <f>E51*'Raw Data'!Z50</f>
        <v>47432</v>
      </c>
      <c r="I51" s="9">
        <f t="shared" si="0"/>
        <v>28.836785292629447</v>
      </c>
      <c r="J51" s="7">
        <f t="shared" si="1"/>
        <v>12.657444174031852</v>
      </c>
      <c r="K51" s="7">
        <v>393</v>
      </c>
      <c r="L51" s="7" t="str">
        <f t="shared" si="2"/>
        <v>SAFE</v>
      </c>
      <c r="M51" s="12" t="s">
        <v>517</v>
      </c>
    </row>
    <row r="52" spans="1:13" ht="15.75" customHeight="1" x14ac:dyDescent="0.3">
      <c r="A52" s="4" t="s">
        <v>111</v>
      </c>
      <c r="B52" s="4" t="s">
        <v>112</v>
      </c>
      <c r="C52" s="4" t="s">
        <v>87</v>
      </c>
      <c r="D52" s="4" t="s">
        <v>44</v>
      </c>
      <c r="E52" s="4">
        <v>2557</v>
      </c>
      <c r="F52" s="4">
        <v>1609</v>
      </c>
      <c r="G52" s="5">
        <v>1296450.06</v>
      </c>
      <c r="H52" s="5">
        <f>E52*'Raw Data'!Z51</f>
        <v>4929742.58</v>
      </c>
      <c r="I52" s="6">
        <f t="shared" si="0"/>
        <v>0.26298534638699128</v>
      </c>
      <c r="J52" s="4">
        <f t="shared" si="1"/>
        <v>1387.9100300246041</v>
      </c>
      <c r="K52" s="4">
        <v>655</v>
      </c>
      <c r="L52" s="4" t="str">
        <f t="shared" si="2"/>
        <v>SAFE</v>
      </c>
      <c r="M52" s="12" t="s">
        <v>517</v>
      </c>
    </row>
    <row r="53" spans="1:13" ht="15.75" customHeight="1" x14ac:dyDescent="0.3">
      <c r="A53" s="7" t="s">
        <v>206</v>
      </c>
      <c r="B53" s="7" t="s">
        <v>207</v>
      </c>
      <c r="C53" s="7" t="s">
        <v>127</v>
      </c>
      <c r="D53" s="7" t="s">
        <v>66</v>
      </c>
      <c r="E53" s="7">
        <v>1538</v>
      </c>
      <c r="F53" s="7">
        <v>1039</v>
      </c>
      <c r="G53" s="8">
        <v>1243755.75</v>
      </c>
      <c r="H53" s="8">
        <f>E53*'Raw Data'!Z52</f>
        <v>355416.42</v>
      </c>
      <c r="I53" s="9">
        <f t="shared" si="0"/>
        <v>3.4994324404032882</v>
      </c>
      <c r="J53" s="7">
        <f t="shared" si="1"/>
        <v>104.3026279878505</v>
      </c>
      <c r="K53" s="7">
        <v>316</v>
      </c>
      <c r="L53" s="7" t="str">
        <f t="shared" si="2"/>
        <v>SAFE</v>
      </c>
      <c r="M53" s="12" t="s">
        <v>517</v>
      </c>
    </row>
    <row r="54" spans="1:13" ht="15.75" customHeight="1" x14ac:dyDescent="0.3">
      <c r="A54" s="4" t="s">
        <v>241</v>
      </c>
      <c r="B54" s="4" t="s">
        <v>242</v>
      </c>
      <c r="C54" s="4" t="s">
        <v>100</v>
      </c>
      <c r="D54" s="4" t="s">
        <v>128</v>
      </c>
      <c r="E54" s="4">
        <v>817</v>
      </c>
      <c r="F54" s="4">
        <v>1691</v>
      </c>
      <c r="G54" s="5">
        <v>1217673.08</v>
      </c>
      <c r="H54" s="5">
        <f>E54*'Raw Data'!Z53</f>
        <v>5149207.8600000003</v>
      </c>
      <c r="I54" s="6">
        <f t="shared" si="0"/>
        <v>0.23647774824922294</v>
      </c>
      <c r="J54" s="4">
        <f t="shared" si="1"/>
        <v>1543.4856036235933</v>
      </c>
      <c r="K54" s="4">
        <v>767</v>
      </c>
      <c r="L54" s="4" t="str">
        <f t="shared" si="2"/>
        <v>WATCH</v>
      </c>
      <c r="M54" s="12" t="s">
        <v>517</v>
      </c>
    </row>
    <row r="55" spans="1:13" ht="15.75" customHeight="1" x14ac:dyDescent="0.3">
      <c r="A55" s="7" t="s">
        <v>117</v>
      </c>
      <c r="B55" s="7" t="s">
        <v>118</v>
      </c>
      <c r="C55" s="7" t="s">
        <v>87</v>
      </c>
      <c r="D55" s="7" t="s">
        <v>66</v>
      </c>
      <c r="E55" s="7">
        <v>2542</v>
      </c>
      <c r="F55" s="7">
        <v>966</v>
      </c>
      <c r="G55" s="8">
        <v>1201915.79</v>
      </c>
      <c r="H55" s="8">
        <f>E55*'Raw Data'!Z54</f>
        <v>4630405.5199999996</v>
      </c>
      <c r="I55" s="9">
        <f t="shared" si="0"/>
        <v>0.25957030864977032</v>
      </c>
      <c r="J55" s="7">
        <f t="shared" si="1"/>
        <v>1406.1700735290278</v>
      </c>
      <c r="K55" s="7">
        <v>1136</v>
      </c>
      <c r="L55" s="7" t="str">
        <f t="shared" si="2"/>
        <v>SAFE</v>
      </c>
      <c r="M55" s="12" t="s">
        <v>517</v>
      </c>
    </row>
    <row r="56" spans="1:13" ht="15.75" customHeight="1" x14ac:dyDescent="0.3">
      <c r="A56" s="4" t="s">
        <v>117</v>
      </c>
      <c r="B56" s="4" t="s">
        <v>118</v>
      </c>
      <c r="C56" s="4" t="s">
        <v>87</v>
      </c>
      <c r="D56" s="4" t="s">
        <v>113</v>
      </c>
      <c r="E56" s="4">
        <v>1862</v>
      </c>
      <c r="F56" s="4">
        <v>537</v>
      </c>
      <c r="G56" s="5">
        <v>1128690.79</v>
      </c>
      <c r="H56" s="5">
        <f>E56*'Raw Data'!Z55</f>
        <v>42621.18</v>
      </c>
      <c r="I56" s="6">
        <f t="shared" si="0"/>
        <v>26.48192260279983</v>
      </c>
      <c r="J56" s="4">
        <f t="shared" si="1"/>
        <v>13.782987189963691</v>
      </c>
      <c r="K56" s="4">
        <v>234</v>
      </c>
      <c r="L56" s="4" t="str">
        <f t="shared" si="2"/>
        <v>SAFE</v>
      </c>
      <c r="M56" s="12" t="s">
        <v>517</v>
      </c>
    </row>
    <row r="57" spans="1:13" ht="15.75" customHeight="1" x14ac:dyDescent="0.3">
      <c r="A57" s="7" t="s">
        <v>206</v>
      </c>
      <c r="B57" s="7" t="s">
        <v>207</v>
      </c>
      <c r="C57" s="7" t="s">
        <v>127</v>
      </c>
      <c r="D57" s="7" t="s">
        <v>128</v>
      </c>
      <c r="E57" s="7">
        <v>911</v>
      </c>
      <c r="F57" s="7">
        <v>1170</v>
      </c>
      <c r="G57" s="8">
        <v>909254.52</v>
      </c>
      <c r="H57" s="8">
        <f>E57*'Raw Data'!Z56</f>
        <v>1689121.54</v>
      </c>
      <c r="I57" s="9">
        <f t="shared" si="0"/>
        <v>0.53830023386002168</v>
      </c>
      <c r="J57" s="7">
        <f t="shared" si="1"/>
        <v>678.06026644772692</v>
      </c>
      <c r="K57" s="7">
        <v>496</v>
      </c>
      <c r="L57" s="7" t="str">
        <f t="shared" si="2"/>
        <v>WATCH</v>
      </c>
      <c r="M57" s="12" t="s">
        <v>517</v>
      </c>
    </row>
    <row r="58" spans="1:13" ht="15.75" customHeight="1" x14ac:dyDescent="0.3">
      <c r="A58" s="4" t="s">
        <v>120</v>
      </c>
      <c r="B58" s="4" t="s">
        <v>121</v>
      </c>
      <c r="C58" s="4" t="s">
        <v>43</v>
      </c>
      <c r="D58" s="4" t="s">
        <v>66</v>
      </c>
      <c r="E58" s="4">
        <v>58</v>
      </c>
      <c r="F58" s="4">
        <v>406</v>
      </c>
      <c r="G58" s="5">
        <v>897650.54</v>
      </c>
      <c r="H58" s="5">
        <f>E58*'Raw Data'!Z57</f>
        <v>7379.92</v>
      </c>
      <c r="I58" s="6">
        <f t="shared" si="0"/>
        <v>121.63418302637427</v>
      </c>
      <c r="J58" s="4">
        <f t="shared" si="1"/>
        <v>3.0008011803791708</v>
      </c>
      <c r="K58" s="4">
        <v>608</v>
      </c>
      <c r="L58" s="4" t="str">
        <f t="shared" si="2"/>
        <v>HIGH RISK</v>
      </c>
      <c r="M58" s="12" t="s">
        <v>517</v>
      </c>
    </row>
    <row r="59" spans="1:13" ht="15.75" customHeight="1" x14ac:dyDescent="0.3">
      <c r="A59" s="7" t="s">
        <v>53</v>
      </c>
      <c r="B59" s="7" t="s">
        <v>54</v>
      </c>
      <c r="C59" s="7" t="s">
        <v>43</v>
      </c>
      <c r="D59" s="7" t="s">
        <v>128</v>
      </c>
      <c r="E59" s="7">
        <v>1874</v>
      </c>
      <c r="F59" s="7">
        <v>1905</v>
      </c>
      <c r="G59" s="8">
        <v>882808.55</v>
      </c>
      <c r="H59" s="8">
        <f>E59*'Raw Data'!Z58</f>
        <v>716242.79999999993</v>
      </c>
      <c r="I59" s="9">
        <f t="shared" si="0"/>
        <v>1.2325548682653427</v>
      </c>
      <c r="J59" s="7">
        <f t="shared" si="1"/>
        <v>296.1328614227852</v>
      </c>
      <c r="K59" s="7">
        <v>487</v>
      </c>
      <c r="L59" s="7" t="str">
        <f t="shared" si="2"/>
        <v>SAFE</v>
      </c>
      <c r="M59" s="12" t="s">
        <v>517</v>
      </c>
    </row>
    <row r="60" spans="1:13" ht="15.75" customHeight="1" x14ac:dyDescent="0.3">
      <c r="A60" s="4" t="s">
        <v>64</v>
      </c>
      <c r="B60" s="4" t="s">
        <v>65</v>
      </c>
      <c r="C60" s="4" t="s">
        <v>43</v>
      </c>
      <c r="D60" s="4" t="s">
        <v>66</v>
      </c>
      <c r="E60" s="4">
        <v>1238</v>
      </c>
      <c r="F60" s="4">
        <v>2208</v>
      </c>
      <c r="G60" s="5">
        <v>788356.37</v>
      </c>
      <c r="H60" s="5">
        <f>E60*'Raw Data'!Z59</f>
        <v>452154.74000000005</v>
      </c>
      <c r="I60" s="6">
        <f t="shared" si="0"/>
        <v>1.7435543637118565</v>
      </c>
      <c r="J60" s="4">
        <f t="shared" si="1"/>
        <v>209.3424831462959</v>
      </c>
      <c r="K60" s="4">
        <v>936</v>
      </c>
      <c r="L60" s="4" t="str">
        <f t="shared" si="2"/>
        <v>WATCH</v>
      </c>
      <c r="M60" s="12" t="s">
        <v>517</v>
      </c>
    </row>
    <row r="61" spans="1:13" ht="15.75" customHeight="1" x14ac:dyDescent="0.3">
      <c r="A61" s="7" t="s">
        <v>111</v>
      </c>
      <c r="B61" s="7" t="s">
        <v>112</v>
      </c>
      <c r="C61" s="7" t="s">
        <v>87</v>
      </c>
      <c r="D61" s="7" t="s">
        <v>55</v>
      </c>
      <c r="E61" s="7">
        <v>989</v>
      </c>
      <c r="F61" s="7">
        <v>1065</v>
      </c>
      <c r="G61" s="8">
        <v>730627.05</v>
      </c>
      <c r="H61" s="8">
        <f>E61*'Raw Data'!Z60</f>
        <v>32528.21</v>
      </c>
      <c r="I61" s="9">
        <f t="shared" si="0"/>
        <v>22.461335868158748</v>
      </c>
      <c r="J61" s="7">
        <f t="shared" si="1"/>
        <v>16.250146569306459</v>
      </c>
      <c r="K61" s="7">
        <v>274</v>
      </c>
      <c r="L61" s="7" t="str">
        <f t="shared" si="2"/>
        <v>SAFE</v>
      </c>
      <c r="M61" s="12" t="s">
        <v>517</v>
      </c>
    </row>
    <row r="62" spans="1:13" ht="15.75" customHeight="1" x14ac:dyDescent="0.3">
      <c r="A62" s="4" t="s">
        <v>241</v>
      </c>
      <c r="B62" s="4" t="s">
        <v>242</v>
      </c>
      <c r="C62" s="4" t="s">
        <v>100</v>
      </c>
      <c r="D62" s="4" t="s">
        <v>55</v>
      </c>
      <c r="E62" s="4">
        <v>909</v>
      </c>
      <c r="F62" s="4">
        <v>542</v>
      </c>
      <c r="G62" s="5">
        <v>723561.75</v>
      </c>
      <c r="H62" s="5">
        <f>E62*'Raw Data'!Z61</f>
        <v>526192.82999999996</v>
      </c>
      <c r="I62" s="6">
        <f t="shared" si="0"/>
        <v>1.3750885773186989</v>
      </c>
      <c r="J62" s="4">
        <f t="shared" si="1"/>
        <v>265.43744600927289</v>
      </c>
      <c r="K62" s="4">
        <v>166</v>
      </c>
      <c r="L62" s="4" t="str">
        <f t="shared" si="2"/>
        <v>SAFE</v>
      </c>
      <c r="M62" s="12" t="s">
        <v>517</v>
      </c>
    </row>
    <row r="63" spans="1:13" ht="15.75" customHeight="1" x14ac:dyDescent="0.3">
      <c r="A63" s="7" t="s">
        <v>64</v>
      </c>
      <c r="B63" s="7" t="s">
        <v>65</v>
      </c>
      <c r="C63" s="7" t="s">
        <v>43</v>
      </c>
      <c r="D63" s="7" t="s">
        <v>113</v>
      </c>
      <c r="E63" s="7">
        <v>1003</v>
      </c>
      <c r="F63" s="7">
        <v>1889</v>
      </c>
      <c r="G63" s="8">
        <v>697956.7</v>
      </c>
      <c r="H63" s="8">
        <f>E63*'Raw Data'!Z62</f>
        <v>22707.920000000002</v>
      </c>
      <c r="I63" s="9">
        <f t="shared" si="0"/>
        <v>30.736267346370777</v>
      </c>
      <c r="J63" s="7">
        <f t="shared" si="1"/>
        <v>11.875222058904228</v>
      </c>
      <c r="K63" s="7">
        <v>329</v>
      </c>
      <c r="L63" s="7" t="str">
        <f t="shared" si="2"/>
        <v>SAFE</v>
      </c>
      <c r="M63" s="12" t="s">
        <v>517</v>
      </c>
    </row>
    <row r="64" spans="1:13" ht="15.75" customHeight="1" x14ac:dyDescent="0.3">
      <c r="A64" s="4" t="s">
        <v>53</v>
      </c>
      <c r="B64" s="4" t="s">
        <v>54</v>
      </c>
      <c r="C64" s="4" t="s">
        <v>43</v>
      </c>
      <c r="D64" s="4" t="s">
        <v>55</v>
      </c>
      <c r="E64" s="4">
        <v>1192</v>
      </c>
      <c r="F64" s="4">
        <v>1555</v>
      </c>
      <c r="G64" s="5">
        <v>663628.47</v>
      </c>
      <c r="H64" s="5">
        <f>E64*'Raw Data'!Z63</f>
        <v>3640248.8000000003</v>
      </c>
      <c r="I64" s="6">
        <f t="shared" si="0"/>
        <v>0.18230305302209013</v>
      </c>
      <c r="J64" s="4">
        <f t="shared" si="1"/>
        <v>2002.1606547410481</v>
      </c>
      <c r="K64" s="4">
        <v>1012</v>
      </c>
      <c r="L64" s="4" t="str">
        <f t="shared" si="2"/>
        <v>WATCH</v>
      </c>
      <c r="M64" s="12" t="s">
        <v>517</v>
      </c>
    </row>
    <row r="65" spans="1:13" ht="15.75" customHeight="1" x14ac:dyDescent="0.3">
      <c r="A65" s="7" t="s">
        <v>206</v>
      </c>
      <c r="B65" s="7" t="s">
        <v>207</v>
      </c>
      <c r="C65" s="7" t="s">
        <v>127</v>
      </c>
      <c r="D65" s="7" t="s">
        <v>44</v>
      </c>
      <c r="E65" s="7">
        <v>1858</v>
      </c>
      <c r="F65" s="7">
        <v>1062</v>
      </c>
      <c r="G65" s="8">
        <v>625735.48</v>
      </c>
      <c r="H65" s="8">
        <f>E65*'Raw Data'!Z64</f>
        <v>1835128.02</v>
      </c>
      <c r="I65" s="9">
        <f t="shared" si="0"/>
        <v>0.34097647312910628</v>
      </c>
      <c r="J65" s="7">
        <f t="shared" si="1"/>
        <v>1070.4550863889003</v>
      </c>
      <c r="K65" s="7">
        <v>588</v>
      </c>
      <c r="L65" s="7" t="str">
        <f t="shared" si="2"/>
        <v>SAFE</v>
      </c>
      <c r="M65" s="12" t="s">
        <v>517</v>
      </c>
    </row>
    <row r="66" spans="1:13" ht="15.75" customHeight="1" x14ac:dyDescent="0.3">
      <c r="A66" s="4" t="s">
        <v>85</v>
      </c>
      <c r="B66" s="4" t="s">
        <v>86</v>
      </c>
      <c r="C66" s="4" t="s">
        <v>87</v>
      </c>
      <c r="D66" s="4" t="s">
        <v>113</v>
      </c>
      <c r="E66" s="4">
        <v>1232</v>
      </c>
      <c r="F66" s="4">
        <v>2528</v>
      </c>
      <c r="G66" s="5">
        <v>562408.81999999995</v>
      </c>
      <c r="H66" s="5">
        <f>E66*'Raw Data'!Z65</f>
        <v>9852747.5199999996</v>
      </c>
      <c r="I66" s="6">
        <f t="shared" si="0"/>
        <v>5.7081420066673945E-2</v>
      </c>
      <c r="J66" s="4">
        <f t="shared" si="1"/>
        <v>6394.374904717889</v>
      </c>
      <c r="K66" s="4">
        <v>682</v>
      </c>
      <c r="L66" s="4" t="str">
        <f t="shared" si="2"/>
        <v>WATCH</v>
      </c>
      <c r="M66" s="12" t="s">
        <v>517</v>
      </c>
    </row>
    <row r="67" spans="1:13" ht="15.75" customHeight="1" x14ac:dyDescent="0.3">
      <c r="A67" s="7" t="s">
        <v>85</v>
      </c>
      <c r="B67" s="7" t="s">
        <v>86</v>
      </c>
      <c r="C67" s="7" t="s">
        <v>87</v>
      </c>
      <c r="D67" s="7" t="s">
        <v>128</v>
      </c>
      <c r="E67" s="7">
        <v>1274</v>
      </c>
      <c r="F67" s="7">
        <v>1656</v>
      </c>
      <c r="G67" s="8">
        <v>509413.32</v>
      </c>
      <c r="H67" s="8">
        <f>E67*'Raw Data'!Z66</f>
        <v>1884500.8</v>
      </c>
      <c r="I67" s="9">
        <f t="shared" si="0"/>
        <v>0.27031738060286309</v>
      </c>
      <c r="J67" s="7">
        <f t="shared" si="1"/>
        <v>1350.2646377601591</v>
      </c>
      <c r="K67" s="7">
        <v>474</v>
      </c>
      <c r="L67" s="7" t="str">
        <f t="shared" si="2"/>
        <v>SAFE</v>
      </c>
      <c r="M67" s="12" t="s">
        <v>517</v>
      </c>
    </row>
    <row r="68" spans="1:13" ht="15.75" customHeight="1" x14ac:dyDescent="0.3">
      <c r="A68" s="4" t="s">
        <v>169</v>
      </c>
      <c r="B68" s="4" t="s">
        <v>170</v>
      </c>
      <c r="C68" s="4" t="s">
        <v>100</v>
      </c>
      <c r="D68" s="4" t="s">
        <v>113</v>
      </c>
      <c r="E68" s="4">
        <v>521</v>
      </c>
      <c r="F68" s="4">
        <v>36</v>
      </c>
      <c r="G68" s="5">
        <v>504658.96</v>
      </c>
      <c r="H68" s="5">
        <f>E68*'Raw Data'!Z67</f>
        <v>511523.00999999995</v>
      </c>
      <c r="I68" s="6">
        <f t="shared" si="0"/>
        <v>0.98658115106102473</v>
      </c>
      <c r="J68" s="4">
        <f t="shared" si="1"/>
        <v>369.9644977075211</v>
      </c>
      <c r="K68" s="4">
        <v>40</v>
      </c>
      <c r="L68" s="4" t="str">
        <f t="shared" si="2"/>
        <v>SAFE</v>
      </c>
      <c r="M68" s="12" t="s">
        <v>517</v>
      </c>
    </row>
    <row r="69" spans="1:13" ht="15.75" customHeight="1" x14ac:dyDescent="0.3">
      <c r="A69" s="7" t="s">
        <v>64</v>
      </c>
      <c r="B69" s="7" t="s">
        <v>65</v>
      </c>
      <c r="C69" s="7" t="s">
        <v>43</v>
      </c>
      <c r="D69" s="7" t="s">
        <v>55</v>
      </c>
      <c r="E69" s="7">
        <v>1127</v>
      </c>
      <c r="F69" s="7">
        <v>1493</v>
      </c>
      <c r="G69" s="8">
        <v>501186.84</v>
      </c>
      <c r="H69" s="8">
        <f>E69*'Raw Data'!Z68</f>
        <v>1756136.48</v>
      </c>
      <c r="I69" s="9">
        <f t="shared" si="0"/>
        <v>0.28539173675157642</v>
      </c>
      <c r="J69" s="7">
        <f t="shared" si="1"/>
        <v>1278.943827016687</v>
      </c>
      <c r="K69" s="7">
        <v>618</v>
      </c>
      <c r="L69" s="7" t="str">
        <f t="shared" si="2"/>
        <v>WATCH</v>
      </c>
      <c r="M69" s="12" t="s">
        <v>517</v>
      </c>
    </row>
    <row r="70" spans="1:13" ht="15.75" customHeight="1" x14ac:dyDescent="0.3">
      <c r="A70" s="4" t="s">
        <v>85</v>
      </c>
      <c r="B70" s="4" t="s">
        <v>86</v>
      </c>
      <c r="C70" s="4" t="s">
        <v>87</v>
      </c>
      <c r="D70" s="4" t="s">
        <v>44</v>
      </c>
      <c r="E70" s="4">
        <v>929</v>
      </c>
      <c r="F70" s="4">
        <v>1321</v>
      </c>
      <c r="G70" s="5">
        <v>490571.32</v>
      </c>
      <c r="H70" s="5">
        <f>E70*'Raw Data'!Z69</f>
        <v>1013864.1499999999</v>
      </c>
      <c r="I70" s="6">
        <f t="shared" si="0"/>
        <v>0.48386297118800387</v>
      </c>
      <c r="J70" s="4">
        <f t="shared" si="1"/>
        <v>754.34579981153399</v>
      </c>
      <c r="K70" s="4">
        <v>442</v>
      </c>
      <c r="L70" s="4" t="str">
        <f t="shared" si="2"/>
        <v>SAFE</v>
      </c>
      <c r="M70" s="12" t="s">
        <v>517</v>
      </c>
    </row>
    <row r="71" spans="1:13" ht="15.75" customHeight="1" x14ac:dyDescent="0.3">
      <c r="A71" s="7" t="s">
        <v>181</v>
      </c>
      <c r="B71" s="7" t="s">
        <v>182</v>
      </c>
      <c r="C71" s="7" t="s">
        <v>127</v>
      </c>
      <c r="D71" s="7" t="s">
        <v>44</v>
      </c>
      <c r="E71" s="7">
        <v>1076</v>
      </c>
      <c r="F71" s="7">
        <v>300</v>
      </c>
      <c r="G71" s="8">
        <v>417048.68</v>
      </c>
      <c r="H71" s="8">
        <f>E71*'Raw Data'!Z70</f>
        <v>2027474.52</v>
      </c>
      <c r="I71" s="9">
        <f t="shared" si="0"/>
        <v>0.20569860478443891</v>
      </c>
      <c r="J71" s="7">
        <f t="shared" si="1"/>
        <v>1774.4408153983368</v>
      </c>
      <c r="K71" s="7">
        <v>167</v>
      </c>
      <c r="L71" s="7" t="str">
        <f t="shared" si="2"/>
        <v>SAFE</v>
      </c>
      <c r="M71" s="12" t="s">
        <v>517</v>
      </c>
    </row>
    <row r="72" spans="1:13" ht="15.75" customHeight="1" x14ac:dyDescent="0.3">
      <c r="A72" s="4" t="s">
        <v>85</v>
      </c>
      <c r="B72" s="4" t="s">
        <v>86</v>
      </c>
      <c r="C72" s="4" t="s">
        <v>87</v>
      </c>
      <c r="D72" s="4" t="s">
        <v>55</v>
      </c>
      <c r="E72" s="4">
        <v>1560</v>
      </c>
      <c r="F72" s="4">
        <v>1519</v>
      </c>
      <c r="G72" s="5">
        <v>397831.91</v>
      </c>
      <c r="H72" s="5">
        <f>E72*'Raw Data'!Z71</f>
        <v>1399164</v>
      </c>
      <c r="I72" s="6">
        <f t="shared" si="0"/>
        <v>0.28433543887635759</v>
      </c>
      <c r="J72" s="4">
        <f t="shared" si="1"/>
        <v>1283.6950660895955</v>
      </c>
      <c r="K72" s="4">
        <v>424</v>
      </c>
      <c r="L72" s="4" t="str">
        <f t="shared" si="2"/>
        <v>SAFE</v>
      </c>
      <c r="M72" s="12" t="s">
        <v>517</v>
      </c>
    </row>
    <row r="73" spans="1:13" ht="15.75" customHeight="1" x14ac:dyDescent="0.3">
      <c r="A73" s="7" t="s">
        <v>64</v>
      </c>
      <c r="B73" s="7" t="s">
        <v>65</v>
      </c>
      <c r="C73" s="7" t="s">
        <v>43</v>
      </c>
      <c r="D73" s="7" t="s">
        <v>128</v>
      </c>
      <c r="E73" s="7">
        <v>2336</v>
      </c>
      <c r="F73" s="7">
        <v>1143</v>
      </c>
      <c r="G73" s="8">
        <v>381517.41</v>
      </c>
      <c r="H73" s="8">
        <f>E73*'Raw Data'!Z72</f>
        <v>2908670.4000000004</v>
      </c>
      <c r="I73" s="9">
        <f t="shared" si="0"/>
        <v>0.13116556967059587</v>
      </c>
      <c r="J73" s="7">
        <f t="shared" si="1"/>
        <v>2782.742459905041</v>
      </c>
      <c r="K73" s="7">
        <v>486</v>
      </c>
      <c r="L73" s="7" t="str">
        <f t="shared" si="2"/>
        <v>SAFE</v>
      </c>
      <c r="M73" s="12" t="s">
        <v>517</v>
      </c>
    </row>
    <row r="74" spans="1:13" ht="15.75" customHeight="1" x14ac:dyDescent="0.3">
      <c r="A74" s="4" t="s">
        <v>234</v>
      </c>
      <c r="B74" s="4" t="s">
        <v>235</v>
      </c>
      <c r="C74" s="4" t="s">
        <v>43</v>
      </c>
      <c r="D74" s="4" t="s">
        <v>66</v>
      </c>
      <c r="E74" s="4">
        <v>1693</v>
      </c>
      <c r="F74" s="4">
        <v>334</v>
      </c>
      <c r="G74" s="5">
        <v>376825.54</v>
      </c>
      <c r="H74" s="5">
        <f>E74*'Raw Data'!Z73</f>
        <v>248498.54</v>
      </c>
      <c r="I74" s="6">
        <f t="shared" si="0"/>
        <v>1.5164094726673243</v>
      </c>
      <c r="J74" s="4">
        <f t="shared" si="1"/>
        <v>240.70015822175961</v>
      </c>
      <c r="K74" s="4">
        <v>144</v>
      </c>
      <c r="L74" s="4" t="str">
        <f t="shared" si="2"/>
        <v>SAFE</v>
      </c>
      <c r="M74" s="12" t="s">
        <v>517</v>
      </c>
    </row>
    <row r="75" spans="1:13" ht="15.75" customHeight="1" x14ac:dyDescent="0.3">
      <c r="A75" s="7" t="s">
        <v>53</v>
      </c>
      <c r="B75" s="7" t="s">
        <v>54</v>
      </c>
      <c r="C75" s="7" t="s">
        <v>43</v>
      </c>
      <c r="D75" s="7" t="s">
        <v>66</v>
      </c>
      <c r="E75" s="7">
        <v>838</v>
      </c>
      <c r="F75" s="7">
        <v>322</v>
      </c>
      <c r="G75" s="8">
        <v>343245.78</v>
      </c>
      <c r="H75" s="8">
        <f>E75*'Raw Data'!Z74</f>
        <v>495534.54000000004</v>
      </c>
      <c r="I75" s="9">
        <f t="shared" si="0"/>
        <v>0.69267781010784835</v>
      </c>
      <c r="J75" s="7">
        <f t="shared" si="1"/>
        <v>526.9405121309868</v>
      </c>
      <c r="K75" s="7">
        <v>171</v>
      </c>
      <c r="L75" s="7" t="str">
        <f t="shared" si="2"/>
        <v>SAFE</v>
      </c>
      <c r="M75" s="12" t="s">
        <v>517</v>
      </c>
    </row>
    <row r="76" spans="1:13" ht="15.75" customHeight="1" x14ac:dyDescent="0.3">
      <c r="A76" s="4" t="s">
        <v>85</v>
      </c>
      <c r="B76" s="4" t="s">
        <v>86</v>
      </c>
      <c r="C76" s="4" t="s">
        <v>87</v>
      </c>
      <c r="D76" s="4" t="s">
        <v>66</v>
      </c>
      <c r="E76" s="4">
        <v>951</v>
      </c>
      <c r="F76" s="4">
        <v>1083</v>
      </c>
      <c r="G76" s="5">
        <v>340545.36</v>
      </c>
      <c r="H76" s="5">
        <f>E76*'Raw Data'!Z75</f>
        <v>346392.24</v>
      </c>
      <c r="I76" s="6">
        <f t="shared" si="0"/>
        <v>0.98312063803738792</v>
      </c>
      <c r="J76" s="4">
        <f t="shared" si="1"/>
        <v>371.26674578681678</v>
      </c>
      <c r="K76" s="4">
        <v>395</v>
      </c>
      <c r="L76" s="4" t="str">
        <f t="shared" si="2"/>
        <v>SAFE</v>
      </c>
      <c r="M76" s="12" t="s">
        <v>517</v>
      </c>
    </row>
    <row r="77" spans="1:13" ht="15.75" customHeight="1" x14ac:dyDescent="0.3">
      <c r="A77" s="7" t="s">
        <v>155</v>
      </c>
      <c r="B77" s="7" t="s">
        <v>156</v>
      </c>
      <c r="C77" s="7" t="s">
        <v>87</v>
      </c>
      <c r="D77" s="7" t="s">
        <v>113</v>
      </c>
      <c r="E77" s="7">
        <v>971</v>
      </c>
      <c r="F77" s="7">
        <v>2323</v>
      </c>
      <c r="G77" s="8">
        <v>324920.57</v>
      </c>
      <c r="H77" s="8">
        <f>E77*'Raw Data'!Z76</f>
        <v>195044.77000000002</v>
      </c>
      <c r="I77" s="9">
        <f t="shared" si="0"/>
        <v>1.6658768650910249</v>
      </c>
      <c r="J77" s="7">
        <f t="shared" si="1"/>
        <v>219.10382912968547</v>
      </c>
      <c r="K77" s="7">
        <v>925</v>
      </c>
      <c r="L77" s="7" t="str">
        <f t="shared" si="2"/>
        <v>WATCH</v>
      </c>
      <c r="M77" s="12" t="s">
        <v>517</v>
      </c>
    </row>
    <row r="78" spans="1:13" ht="15.75" customHeight="1" x14ac:dyDescent="0.3">
      <c r="A78" s="4" t="s">
        <v>64</v>
      </c>
      <c r="B78" s="4" t="s">
        <v>65</v>
      </c>
      <c r="C78" s="4" t="s">
        <v>43</v>
      </c>
      <c r="D78" s="4" t="s">
        <v>44</v>
      </c>
      <c r="E78" s="4">
        <v>1836</v>
      </c>
      <c r="F78" s="4">
        <v>939</v>
      </c>
      <c r="G78" s="5">
        <v>304957.51</v>
      </c>
      <c r="H78" s="5">
        <f>E78*'Raw Data'!Z77</f>
        <v>1710215.6400000001</v>
      </c>
      <c r="I78" s="6">
        <f t="shared" si="0"/>
        <v>0.17831523865610302</v>
      </c>
      <c r="J78" s="4">
        <f t="shared" si="1"/>
        <v>2046.9366653734812</v>
      </c>
      <c r="K78" s="4">
        <v>565</v>
      </c>
      <c r="L78" s="4" t="str">
        <f t="shared" si="2"/>
        <v>SAFE</v>
      </c>
      <c r="M78" s="12" t="s">
        <v>517</v>
      </c>
    </row>
    <row r="79" spans="1:13" ht="15.75" customHeight="1" x14ac:dyDescent="0.3">
      <c r="A79" s="7" t="s">
        <v>75</v>
      </c>
      <c r="B79" s="7" t="s">
        <v>76</v>
      </c>
      <c r="C79" s="7" t="s">
        <v>77</v>
      </c>
      <c r="D79" s="7" t="s">
        <v>113</v>
      </c>
      <c r="E79" s="7">
        <v>1528</v>
      </c>
      <c r="F79" s="7">
        <v>3681</v>
      </c>
      <c r="G79" s="8">
        <v>244048.89</v>
      </c>
      <c r="H79" s="8">
        <f>E79*'Raw Data'!Z78</f>
        <v>830605.52</v>
      </c>
      <c r="I79" s="9">
        <f t="shared" si="0"/>
        <v>0.29382045281856545</v>
      </c>
      <c r="J79" s="7">
        <f t="shared" si="1"/>
        <v>1242.2552497575382</v>
      </c>
      <c r="K79" s="7">
        <v>772</v>
      </c>
      <c r="L79" s="7" t="str">
        <f t="shared" si="2"/>
        <v>WATCH</v>
      </c>
      <c r="M79" s="12" t="s">
        <v>517</v>
      </c>
    </row>
    <row r="80" spans="1:13" ht="15.75" customHeight="1" x14ac:dyDescent="0.3">
      <c r="A80" s="4" t="s">
        <v>155</v>
      </c>
      <c r="B80" s="4" t="s">
        <v>156</v>
      </c>
      <c r="C80" s="4" t="s">
        <v>87</v>
      </c>
      <c r="D80" s="4" t="s">
        <v>128</v>
      </c>
      <c r="E80" s="4">
        <v>1581</v>
      </c>
      <c r="F80" s="4">
        <v>1406</v>
      </c>
      <c r="G80" s="5">
        <v>236829.15</v>
      </c>
      <c r="H80" s="5">
        <f>E80*'Raw Data'!Z79</f>
        <v>3806368.1700000004</v>
      </c>
      <c r="I80" s="6">
        <f t="shared" si="0"/>
        <v>6.2219191476687863E-2</v>
      </c>
      <c r="J80" s="4">
        <f t="shared" si="1"/>
        <v>5866.357169503839</v>
      </c>
      <c r="K80" s="4">
        <v>384</v>
      </c>
      <c r="L80" s="4" t="str">
        <f t="shared" si="2"/>
        <v>SAFE</v>
      </c>
      <c r="M80" s="12" t="s">
        <v>517</v>
      </c>
    </row>
    <row r="81" spans="1:13" ht="15.75" customHeight="1" x14ac:dyDescent="0.3">
      <c r="A81" s="7" t="s">
        <v>75</v>
      </c>
      <c r="B81" s="7" t="s">
        <v>76</v>
      </c>
      <c r="C81" s="7" t="s">
        <v>77</v>
      </c>
      <c r="D81" s="7" t="s">
        <v>55</v>
      </c>
      <c r="E81" s="7">
        <v>1362</v>
      </c>
      <c r="F81" s="7">
        <v>3384</v>
      </c>
      <c r="G81" s="8">
        <v>197113.08</v>
      </c>
      <c r="H81" s="8">
        <f>E81*'Raw Data'!Z80</f>
        <v>45463.560000000005</v>
      </c>
      <c r="I81" s="9">
        <f t="shared" si="0"/>
        <v>4.335627918271248</v>
      </c>
      <c r="J81" s="7">
        <f t="shared" si="1"/>
        <v>84.186190992500357</v>
      </c>
      <c r="K81" s="7">
        <v>539</v>
      </c>
      <c r="L81" s="7" t="str">
        <f t="shared" si="2"/>
        <v>SAFE</v>
      </c>
      <c r="M81" s="12" t="s">
        <v>517</v>
      </c>
    </row>
    <row r="82" spans="1:13" ht="15.75" customHeight="1" x14ac:dyDescent="0.3">
      <c r="A82" s="4" t="s">
        <v>155</v>
      </c>
      <c r="B82" s="4" t="s">
        <v>156</v>
      </c>
      <c r="C82" s="4" t="s">
        <v>87</v>
      </c>
      <c r="D82" s="4" t="s">
        <v>66</v>
      </c>
      <c r="E82" s="4">
        <v>1870</v>
      </c>
      <c r="F82" s="4">
        <v>574</v>
      </c>
      <c r="G82" s="5">
        <v>135462.21</v>
      </c>
      <c r="H82" s="5">
        <f>E82*'Raw Data'!Z81</f>
        <v>2127330.6999999997</v>
      </c>
      <c r="I82" s="6">
        <f t="shared" si="0"/>
        <v>6.3677081330138288E-2</v>
      </c>
      <c r="J82" s="4">
        <f t="shared" si="1"/>
        <v>5732.0466386898597</v>
      </c>
      <c r="K82" s="4">
        <v>382</v>
      </c>
      <c r="L82" s="4" t="str">
        <f t="shared" si="2"/>
        <v>SAFE</v>
      </c>
      <c r="M82" s="12" t="s">
        <v>517</v>
      </c>
    </row>
    <row r="83" spans="1:13" ht="15.75" customHeight="1" x14ac:dyDescent="0.3">
      <c r="A83" s="7" t="s">
        <v>75</v>
      </c>
      <c r="B83" s="7" t="s">
        <v>76</v>
      </c>
      <c r="C83" s="7" t="s">
        <v>77</v>
      </c>
      <c r="D83" s="7" t="s">
        <v>66</v>
      </c>
      <c r="E83" s="7">
        <v>1622</v>
      </c>
      <c r="F83" s="7">
        <v>1761</v>
      </c>
      <c r="G83" s="8">
        <v>135414.98000000001</v>
      </c>
      <c r="H83" s="8">
        <f>E83*'Raw Data'!Z82</f>
        <v>1232411.8199999998</v>
      </c>
      <c r="I83" s="9">
        <f t="shared" si="0"/>
        <v>0.10987802762229271</v>
      </c>
      <c r="J83" s="7">
        <f t="shared" si="1"/>
        <v>3321.86523455529</v>
      </c>
      <c r="K83" s="7">
        <v>371</v>
      </c>
      <c r="L83" s="7" t="str">
        <f t="shared" si="2"/>
        <v>SAFE</v>
      </c>
      <c r="M83" s="12" t="s">
        <v>517</v>
      </c>
    </row>
    <row r="84" spans="1:13" ht="15.75" customHeight="1" x14ac:dyDescent="0.3">
      <c r="A84" s="4" t="s">
        <v>75</v>
      </c>
      <c r="B84" s="4" t="s">
        <v>76</v>
      </c>
      <c r="C84" s="4" t="s">
        <v>77</v>
      </c>
      <c r="D84" s="4" t="s">
        <v>44</v>
      </c>
      <c r="E84" s="4">
        <v>1741</v>
      </c>
      <c r="F84" s="4">
        <v>1507</v>
      </c>
      <c r="G84" s="5">
        <v>108879.85</v>
      </c>
      <c r="H84" s="5">
        <f>E84*'Raw Data'!Z83</f>
        <v>7951303.6900000004</v>
      </c>
      <c r="I84" s="6">
        <f t="shared" si="0"/>
        <v>1.3693333099191437E-2</v>
      </c>
      <c r="J84" s="4">
        <f t="shared" si="1"/>
        <v>26655.307174376157</v>
      </c>
      <c r="K84" s="4">
        <v>530</v>
      </c>
      <c r="L84" s="4" t="str">
        <f t="shared" si="2"/>
        <v>SAFE</v>
      </c>
      <c r="M84" s="12" t="s">
        <v>517</v>
      </c>
    </row>
    <row r="85" spans="1:13" ht="15.75" customHeight="1" x14ac:dyDescent="0.3">
      <c r="A85" s="7" t="s">
        <v>161</v>
      </c>
      <c r="B85" s="7" t="s">
        <v>162</v>
      </c>
      <c r="C85" s="7" t="s">
        <v>77</v>
      </c>
      <c r="D85" s="7" t="s">
        <v>113</v>
      </c>
      <c r="E85" s="7">
        <v>1585</v>
      </c>
      <c r="F85" s="7">
        <v>2669</v>
      </c>
      <c r="G85" s="8">
        <v>101138.67</v>
      </c>
      <c r="H85" s="8">
        <f>E85*'Raw Data'!Z84</f>
        <v>639816.95000000007</v>
      </c>
      <c r="I85" s="9">
        <f t="shared" si="0"/>
        <v>0.15807438361862716</v>
      </c>
      <c r="J85" s="7">
        <f t="shared" si="1"/>
        <v>2309.0395271165817</v>
      </c>
      <c r="K85" s="7">
        <v>467</v>
      </c>
      <c r="L85" s="7" t="str">
        <f t="shared" si="2"/>
        <v>SAFE</v>
      </c>
      <c r="M85" s="12" t="s">
        <v>517</v>
      </c>
    </row>
    <row r="86" spans="1:13" ht="15.75" customHeight="1" x14ac:dyDescent="0.3">
      <c r="A86" s="4" t="s">
        <v>161</v>
      </c>
      <c r="B86" s="4" t="s">
        <v>162</v>
      </c>
      <c r="C86" s="4" t="s">
        <v>77</v>
      </c>
      <c r="D86" s="4" t="s">
        <v>128</v>
      </c>
      <c r="E86" s="4">
        <v>1151</v>
      </c>
      <c r="F86" s="4">
        <v>1460</v>
      </c>
      <c r="G86" s="5">
        <v>89992.5</v>
      </c>
      <c r="H86" s="5">
        <f>E86*'Raw Data'!Z85</f>
        <v>2601386.6100000003</v>
      </c>
      <c r="I86" s="6">
        <f t="shared" si="0"/>
        <v>3.4594050593656278E-2</v>
      </c>
      <c r="J86" s="4">
        <f t="shared" si="1"/>
        <v>10550.947163930328</v>
      </c>
      <c r="K86" s="4">
        <v>314</v>
      </c>
      <c r="L86" s="4" t="str">
        <f t="shared" si="2"/>
        <v>SAFE</v>
      </c>
      <c r="M86" s="12" t="s">
        <v>517</v>
      </c>
    </row>
    <row r="87" spans="1:13" ht="15.75" customHeight="1" x14ac:dyDescent="0.3">
      <c r="A87" s="7" t="s">
        <v>221</v>
      </c>
      <c r="B87" s="7" t="s">
        <v>222</v>
      </c>
      <c r="C87" s="7" t="s">
        <v>77</v>
      </c>
      <c r="D87" s="7" t="s">
        <v>44</v>
      </c>
      <c r="E87" s="7">
        <v>2063</v>
      </c>
      <c r="F87" s="7">
        <v>3481</v>
      </c>
      <c r="G87" s="8">
        <v>77684.31</v>
      </c>
      <c r="H87" s="8">
        <f>E87*'Raw Data'!Z86</f>
        <v>9166589.7899999991</v>
      </c>
      <c r="I87" s="9">
        <f t="shared" si="0"/>
        <v>8.4747230736502716E-3</v>
      </c>
      <c r="J87" s="7">
        <f t="shared" si="1"/>
        <v>43069.253924634206</v>
      </c>
      <c r="K87" s="7">
        <v>970</v>
      </c>
      <c r="L87" s="7" t="str">
        <f t="shared" si="2"/>
        <v>SAFE</v>
      </c>
      <c r="M87" s="12" t="s">
        <v>517</v>
      </c>
    </row>
    <row r="88" spans="1:13" ht="15.75" customHeight="1" x14ac:dyDescent="0.3">
      <c r="A88" s="4" t="s">
        <v>75</v>
      </c>
      <c r="B88" s="4" t="s">
        <v>76</v>
      </c>
      <c r="C88" s="4" t="s">
        <v>77</v>
      </c>
      <c r="D88" s="4" t="s">
        <v>128</v>
      </c>
      <c r="E88" s="4">
        <v>2200</v>
      </c>
      <c r="F88" s="4">
        <v>889</v>
      </c>
      <c r="G88" s="5">
        <v>68831.100000000006</v>
      </c>
      <c r="H88" s="5">
        <f>E88*'Raw Data'!Z87</f>
        <v>3123163.9999999995</v>
      </c>
      <c r="I88" s="6">
        <f t="shared" si="0"/>
        <v>2.2038900294701149E-2</v>
      </c>
      <c r="J88" s="4">
        <f t="shared" si="1"/>
        <v>16561.624905021126</v>
      </c>
      <c r="K88" s="4">
        <v>286</v>
      </c>
      <c r="L88" s="4" t="str">
        <f t="shared" si="2"/>
        <v>SAFE</v>
      </c>
      <c r="M88" s="12" t="s">
        <v>517</v>
      </c>
    </row>
    <row r="89" spans="1:13" ht="15.75" customHeight="1" x14ac:dyDescent="0.3">
      <c r="A89" s="7" t="s">
        <v>155</v>
      </c>
      <c r="B89" s="7" t="s">
        <v>156</v>
      </c>
      <c r="C89" s="7" t="s">
        <v>87</v>
      </c>
      <c r="D89" s="7" t="s">
        <v>44</v>
      </c>
      <c r="E89" s="7">
        <v>502</v>
      </c>
      <c r="F89" s="7">
        <v>279</v>
      </c>
      <c r="G89" s="8">
        <v>61092.24</v>
      </c>
      <c r="H89" s="8">
        <f>E89*'Raw Data'!Z88</f>
        <v>2927889.9</v>
      </c>
      <c r="I89" s="9">
        <f t="shared" si="0"/>
        <v>2.0865620664219649E-2</v>
      </c>
      <c r="J89" s="7">
        <f t="shared" si="1"/>
        <v>17492.889661600228</v>
      </c>
      <c r="K89" s="7">
        <v>376</v>
      </c>
      <c r="L89" s="7" t="str">
        <f t="shared" si="2"/>
        <v>WATCH</v>
      </c>
      <c r="M89" s="12" t="s">
        <v>517</v>
      </c>
    </row>
    <row r="90" spans="1:13" ht="15.75" customHeight="1" x14ac:dyDescent="0.3">
      <c r="A90" s="4" t="s">
        <v>221</v>
      </c>
      <c r="B90" s="4" t="s">
        <v>222</v>
      </c>
      <c r="C90" s="4" t="s">
        <v>77</v>
      </c>
      <c r="D90" s="4" t="s">
        <v>113</v>
      </c>
      <c r="E90" s="4">
        <v>1469</v>
      </c>
      <c r="F90" s="4">
        <v>1924</v>
      </c>
      <c r="G90" s="5">
        <v>43463.65</v>
      </c>
      <c r="H90" s="5">
        <f>E90*'Raw Data'!Z89</f>
        <v>847759.9</v>
      </c>
      <c r="I90" s="6">
        <f t="shared" si="0"/>
        <v>5.1268820334625403E-2</v>
      </c>
      <c r="J90" s="4">
        <f t="shared" si="1"/>
        <v>7119.3368136362224</v>
      </c>
      <c r="K90" s="4">
        <v>800</v>
      </c>
      <c r="L90" s="4" t="str">
        <f t="shared" si="2"/>
        <v>WATCH</v>
      </c>
      <c r="M90" s="12" t="s">
        <v>517</v>
      </c>
    </row>
    <row r="91" spans="1:13" ht="15.75" customHeight="1" x14ac:dyDescent="0.3">
      <c r="A91" s="7" t="s">
        <v>221</v>
      </c>
      <c r="B91" s="7" t="s">
        <v>222</v>
      </c>
      <c r="C91" s="7" t="s">
        <v>77</v>
      </c>
      <c r="D91" s="7" t="s">
        <v>128</v>
      </c>
      <c r="E91" s="7">
        <v>1196</v>
      </c>
      <c r="F91" s="7">
        <v>1389</v>
      </c>
      <c r="G91" s="8">
        <v>41222.57</v>
      </c>
      <c r="H91" s="8">
        <f>E91*'Raw Data'!Z90</f>
        <v>2380841.3200000003</v>
      </c>
      <c r="I91" s="9">
        <f t="shared" si="0"/>
        <v>1.7314287035307331E-2</v>
      </c>
      <c r="J91" s="7">
        <f t="shared" si="1"/>
        <v>21080.856477410314</v>
      </c>
      <c r="K91" s="7">
        <v>434</v>
      </c>
      <c r="L91" s="7" t="str">
        <f t="shared" si="2"/>
        <v>SAFE</v>
      </c>
      <c r="M91" s="12" t="s">
        <v>517</v>
      </c>
    </row>
    <row r="92" spans="1:13" ht="15.75" customHeight="1" x14ac:dyDescent="0.3">
      <c r="A92" s="4" t="s">
        <v>221</v>
      </c>
      <c r="B92" s="4" t="s">
        <v>222</v>
      </c>
      <c r="C92" s="4" t="s">
        <v>77</v>
      </c>
      <c r="D92" s="4" t="s">
        <v>66</v>
      </c>
      <c r="E92" s="4">
        <v>1346</v>
      </c>
      <c r="F92" s="4">
        <v>1758</v>
      </c>
      <c r="G92" s="5">
        <v>37367.269999999997</v>
      </c>
      <c r="H92" s="5">
        <f>E92*'Raw Data'!Z91</f>
        <v>1239464.1000000001</v>
      </c>
      <c r="I92" s="6">
        <f t="shared" si="0"/>
        <v>3.0147924413462233E-2</v>
      </c>
      <c r="J92" s="4">
        <f t="shared" si="1"/>
        <v>12106.969454819688</v>
      </c>
      <c r="K92" s="4">
        <v>668</v>
      </c>
      <c r="L92" s="4" t="str">
        <f t="shared" si="2"/>
        <v>SAFE</v>
      </c>
      <c r="M92" s="12" t="s">
        <v>517</v>
      </c>
    </row>
    <row r="93" spans="1:13" ht="15.75" customHeight="1" x14ac:dyDescent="0.3">
      <c r="A93" s="7" t="s">
        <v>161</v>
      </c>
      <c r="B93" s="7" t="s">
        <v>162</v>
      </c>
      <c r="C93" s="7" t="s">
        <v>77</v>
      </c>
      <c r="D93" s="7" t="s">
        <v>44</v>
      </c>
      <c r="E93" s="7">
        <v>580</v>
      </c>
      <c r="F93" s="7">
        <v>1432</v>
      </c>
      <c r="G93" s="8">
        <v>32538.57</v>
      </c>
      <c r="H93" s="8">
        <f>E93*'Raw Data'!Z92</f>
        <v>575342.6</v>
      </c>
      <c r="I93" s="9">
        <f t="shared" si="0"/>
        <v>5.6555120375233817E-2</v>
      </c>
      <c r="J93" s="7">
        <f t="shared" si="1"/>
        <v>6453.8807021943494</v>
      </c>
      <c r="K93" s="7">
        <v>718</v>
      </c>
      <c r="L93" s="7" t="str">
        <f t="shared" si="2"/>
        <v>HIGH RISK</v>
      </c>
      <c r="M93" s="12" t="s">
        <v>517</v>
      </c>
    </row>
    <row r="94" spans="1:13" ht="15.75" customHeight="1" x14ac:dyDescent="0.3">
      <c r="A94" s="4" t="s">
        <v>161</v>
      </c>
      <c r="B94" s="4" t="s">
        <v>162</v>
      </c>
      <c r="C94" s="4" t="s">
        <v>77</v>
      </c>
      <c r="D94" s="4" t="s">
        <v>66</v>
      </c>
      <c r="E94" s="4">
        <v>1823</v>
      </c>
      <c r="F94" s="4">
        <v>564</v>
      </c>
      <c r="G94" s="5">
        <v>31298.81</v>
      </c>
      <c r="H94" s="5">
        <f>E94*'Raw Data'!Z93</f>
        <v>413985.07</v>
      </c>
      <c r="I94" s="6">
        <f t="shared" si="0"/>
        <v>7.5603716820029282E-2</v>
      </c>
      <c r="J94" s="4">
        <f t="shared" si="1"/>
        <v>4827.8049724574194</v>
      </c>
      <c r="K94" s="4">
        <v>381</v>
      </c>
      <c r="L94" s="4" t="str">
        <f t="shared" si="2"/>
        <v>SAFE</v>
      </c>
      <c r="M94" s="12" t="s">
        <v>517</v>
      </c>
    </row>
    <row r="95" spans="1:13" ht="15.75" customHeight="1" x14ac:dyDescent="0.3">
      <c r="A95" s="7" t="s">
        <v>161</v>
      </c>
      <c r="B95" s="7" t="s">
        <v>162</v>
      </c>
      <c r="C95" s="7" t="s">
        <v>77</v>
      </c>
      <c r="D95" s="7" t="s">
        <v>55</v>
      </c>
      <c r="E95" s="7">
        <v>1179</v>
      </c>
      <c r="F95" s="7">
        <v>668</v>
      </c>
      <c r="G95" s="8">
        <v>30708.560000000001</v>
      </c>
      <c r="H95" s="8">
        <f>E95*'Raw Data'!Z94</f>
        <v>22353.84</v>
      </c>
      <c r="I95" s="9">
        <f t="shared" si="0"/>
        <v>1.3737487608393011</v>
      </c>
      <c r="J95" s="7">
        <f t="shared" si="1"/>
        <v>265.69632701761333</v>
      </c>
      <c r="K95" s="7">
        <v>360</v>
      </c>
      <c r="L95" s="7" t="str">
        <f t="shared" si="2"/>
        <v>SAFE</v>
      </c>
      <c r="M95" s="12" t="s">
        <v>517</v>
      </c>
    </row>
    <row r="96" spans="1:13" ht="15.75" customHeight="1" x14ac:dyDescent="0.3">
      <c r="A96" s="4" t="s">
        <v>221</v>
      </c>
      <c r="B96" s="4" t="s">
        <v>222</v>
      </c>
      <c r="C96" s="4" t="s">
        <v>77</v>
      </c>
      <c r="D96" s="4" t="s">
        <v>55</v>
      </c>
      <c r="E96" s="4">
        <v>1018</v>
      </c>
      <c r="F96" s="4">
        <v>1032</v>
      </c>
      <c r="G96" s="5">
        <v>20029.400000000001</v>
      </c>
      <c r="H96" s="5">
        <f>E96*'Raw Data'!Z95</f>
        <v>9982538.540000001</v>
      </c>
      <c r="I96" s="6">
        <f t="shared" si="0"/>
        <v>2.006443543367477E-3</v>
      </c>
      <c r="J96" s="4">
        <f t="shared" si="1"/>
        <v>181913.91490009686</v>
      </c>
      <c r="K96" s="4">
        <v>1237</v>
      </c>
      <c r="L96" s="4" t="str">
        <f t="shared" si="2"/>
        <v>HIGH RISK</v>
      </c>
      <c r="M96" s="12" t="s">
        <v>517</v>
      </c>
    </row>
    <row r="97" spans="1:13" ht="15.75" customHeight="1" x14ac:dyDescent="0.3">
      <c r="A97" s="7" t="s">
        <v>155</v>
      </c>
      <c r="B97" s="7" t="s">
        <v>156</v>
      </c>
      <c r="C97" s="7" t="s">
        <v>87</v>
      </c>
      <c r="D97" s="7" t="s">
        <v>55</v>
      </c>
      <c r="E97" s="7">
        <v>2606</v>
      </c>
      <c r="F97" s="7">
        <v>108</v>
      </c>
      <c r="G97" s="8">
        <v>18223.68</v>
      </c>
      <c r="H97" s="8">
        <f>E97*'Raw Data'!Z96</f>
        <v>2593647.56</v>
      </c>
      <c r="I97" s="9">
        <f t="shared" si="0"/>
        <v>7.026274610726216E-3</v>
      </c>
      <c r="J97" s="7">
        <f t="shared" si="1"/>
        <v>51947.869991132415</v>
      </c>
      <c r="K97" s="7">
        <v>107</v>
      </c>
      <c r="L97" s="7" t="str">
        <f t="shared" si="2"/>
        <v>SAFE</v>
      </c>
      <c r="M97" s="12" t="s">
        <v>517</v>
      </c>
    </row>
    <row r="98" spans="1:13" ht="15.75" customHeight="1" x14ac:dyDescent="0.3"/>
    <row r="99" spans="1:13" ht="15.75" customHeight="1" x14ac:dyDescent="0.3"/>
    <row r="100" spans="1:13" ht="24.75" customHeight="1" x14ac:dyDescent="0.3">
      <c r="A100" s="51" t="s">
        <v>518</v>
      </c>
      <c r="B100" s="36"/>
      <c r="C100" s="36"/>
      <c r="D100" s="37"/>
    </row>
    <row r="101" spans="1:13" ht="14.4" x14ac:dyDescent="0.3">
      <c r="A101" s="3" t="s">
        <v>519</v>
      </c>
      <c r="B101" s="3" t="s">
        <v>520</v>
      </c>
      <c r="C101" s="3" t="s">
        <v>521</v>
      </c>
      <c r="D101" s="3" t="s">
        <v>522</v>
      </c>
    </row>
    <row r="102" spans="1:13" ht="34.200000000000003" customHeight="1" x14ac:dyDescent="0.3">
      <c r="A102" s="13" t="s">
        <v>515</v>
      </c>
      <c r="B102" s="14">
        <v>2</v>
      </c>
      <c r="C102" s="15">
        <f t="shared" ref="C102:C104" si="3">B102/94</f>
        <v>2.1276595744680851E-2</v>
      </c>
      <c r="D102" s="65" t="s">
        <v>523</v>
      </c>
    </row>
    <row r="103" spans="1:13" ht="14.4" x14ac:dyDescent="0.3">
      <c r="A103" s="16" t="s">
        <v>516</v>
      </c>
      <c r="B103" s="14">
        <v>9</v>
      </c>
      <c r="C103" s="15">
        <f t="shared" si="3"/>
        <v>9.5744680851063829E-2</v>
      </c>
      <c r="D103" s="65" t="s">
        <v>524</v>
      </c>
    </row>
    <row r="104" spans="1:13" ht="14.4" x14ac:dyDescent="0.3">
      <c r="A104" s="17" t="s">
        <v>517</v>
      </c>
      <c r="B104" s="14">
        <v>83</v>
      </c>
      <c r="C104" s="15">
        <f t="shared" si="3"/>
        <v>0.88297872340425532</v>
      </c>
      <c r="D104" s="65" t="s">
        <v>525</v>
      </c>
    </row>
    <row r="105" spans="1:13" ht="15.75" customHeight="1" x14ac:dyDescent="0.3"/>
    <row r="106" spans="1:13" ht="15.75" customHeight="1" x14ac:dyDescent="0.3">
      <c r="A106" s="18"/>
      <c r="B106" s="18"/>
    </row>
    <row r="107" spans="1:13" ht="15.75" customHeight="1" x14ac:dyDescent="0.3">
      <c r="A107" s="18"/>
      <c r="B107" s="18"/>
    </row>
    <row r="108" spans="1:13" ht="15.75" customHeight="1" x14ac:dyDescent="0.3">
      <c r="A108" s="18"/>
      <c r="B108" s="18"/>
    </row>
    <row r="109" spans="1:13" ht="15.75" customHeight="1" x14ac:dyDescent="0.3">
      <c r="A109" s="18"/>
      <c r="B109" s="18"/>
    </row>
    <row r="110" spans="1:13" ht="15.75" customHeight="1" x14ac:dyDescent="0.3"/>
    <row r="111" spans="1:13" ht="15.75" customHeight="1" x14ac:dyDescent="0.3"/>
    <row r="112" spans="1:13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M1"/>
    <mergeCell ref="A100:D100"/>
  </mergeCells>
  <pageMargins left="0.75" right="0.75" top="1" bottom="1" header="0" footer="0"/>
  <pageSetup orientation="landscape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J1000"/>
  <sheetViews>
    <sheetView showGridLines="0" tabSelected="1" zoomScale="70" zoomScaleNormal="70" workbookViewId="0">
      <selection activeCell="P5" sqref="P5"/>
    </sheetView>
  </sheetViews>
  <sheetFormatPr defaultColWidth="14.44140625" defaultRowHeight="15" customHeight="1" x14ac:dyDescent="0.3"/>
  <cols>
    <col min="1" max="1" width="14" customWidth="1"/>
    <col min="2" max="5" width="20" customWidth="1"/>
    <col min="6" max="6" width="26" customWidth="1"/>
    <col min="7" max="7" width="24" customWidth="1"/>
    <col min="8" max="8" width="16" customWidth="1"/>
    <col min="9" max="9" width="14" customWidth="1"/>
    <col min="10" max="10" width="18" customWidth="1"/>
    <col min="11" max="26" width="8.6640625" customWidth="1"/>
  </cols>
  <sheetData>
    <row r="1" spans="1:10" ht="30" customHeight="1" x14ac:dyDescent="0.3">
      <c r="A1" s="50" t="s">
        <v>526</v>
      </c>
      <c r="B1" s="36"/>
      <c r="C1" s="36"/>
      <c r="D1" s="36"/>
      <c r="E1" s="36"/>
      <c r="F1" s="36"/>
      <c r="G1" s="36"/>
      <c r="H1" s="36"/>
      <c r="I1" s="36"/>
      <c r="J1" s="37"/>
    </row>
    <row r="3" spans="1:10" ht="24.75" customHeight="1" x14ac:dyDescent="0.3">
      <c r="A3" s="3" t="s">
        <v>527</v>
      </c>
      <c r="B3" s="3" t="s">
        <v>528</v>
      </c>
      <c r="C3" s="3" t="s">
        <v>529</v>
      </c>
      <c r="D3" s="3" t="s">
        <v>530</v>
      </c>
      <c r="E3" s="3" t="s">
        <v>531</v>
      </c>
      <c r="F3" s="3" t="s">
        <v>532</v>
      </c>
      <c r="G3" s="3" t="s">
        <v>533</v>
      </c>
      <c r="H3" s="3" t="s">
        <v>534</v>
      </c>
      <c r="I3" s="3" t="s">
        <v>535</v>
      </c>
      <c r="J3" s="3" t="s">
        <v>536</v>
      </c>
    </row>
    <row r="4" spans="1:10" ht="14.4" x14ac:dyDescent="0.3">
      <c r="A4" s="4" t="s">
        <v>537</v>
      </c>
      <c r="B4" s="4">
        <v>9261</v>
      </c>
      <c r="C4" s="5">
        <v>19305036.920000002</v>
      </c>
      <c r="D4" s="19"/>
      <c r="E4" s="19"/>
      <c r="F4" s="19">
        <f>B4</f>
        <v>9261</v>
      </c>
      <c r="G4" s="19"/>
      <c r="H4" s="4">
        <f t="shared" ref="H4:H27" si="0">ABS(B4-G4)</f>
        <v>9261</v>
      </c>
      <c r="I4" s="20">
        <f>IF(B4=0,0,H4/B4)</f>
        <v>1</v>
      </c>
      <c r="J4" s="20">
        <f>I4</f>
        <v>1</v>
      </c>
    </row>
    <row r="5" spans="1:10" ht="14.4" x14ac:dyDescent="0.3">
      <c r="A5" s="7" t="s">
        <v>538</v>
      </c>
      <c r="B5" s="7">
        <v>4533</v>
      </c>
      <c r="C5" s="8">
        <v>11445542.439999999</v>
      </c>
      <c r="D5" s="21"/>
      <c r="E5" s="21"/>
      <c r="F5" s="21">
        <f t="shared" ref="F5:F27" si="1">0.3*B5+0.7*F4</f>
        <v>7842.5999999999995</v>
      </c>
      <c r="G5" s="21"/>
      <c r="H5" s="7">
        <f t="shared" si="0"/>
        <v>4533</v>
      </c>
      <c r="I5" s="22">
        <f t="shared" ref="I4:I27" si="2">IF(B5=0,0,H5/B5)</f>
        <v>1</v>
      </c>
      <c r="J5" s="22">
        <f t="shared" ref="J5:J27" si="3">AVERAGE(I$4:I5)</f>
        <v>1</v>
      </c>
    </row>
    <row r="6" spans="1:10" ht="14.4" x14ac:dyDescent="0.3">
      <c r="A6" s="4" t="s">
        <v>539</v>
      </c>
      <c r="B6" s="4">
        <v>5729</v>
      </c>
      <c r="C6" s="5">
        <v>13277762.15</v>
      </c>
      <c r="D6" s="19">
        <f t="shared" ref="D6:D27" si="4">AVERAGE(B4:B6)</f>
        <v>6507.666666666667</v>
      </c>
      <c r="E6" s="19"/>
      <c r="F6" s="19">
        <f t="shared" si="1"/>
        <v>7208.5199999999995</v>
      </c>
      <c r="G6" s="19">
        <f t="shared" ref="G6:G27" si="5">D6</f>
        <v>6507.666666666667</v>
      </c>
      <c r="H6" s="4">
        <f t="shared" si="0"/>
        <v>778.66666666666697</v>
      </c>
      <c r="I6" s="20">
        <f t="shared" si="2"/>
        <v>0.13591668121254441</v>
      </c>
      <c r="J6" s="20">
        <f t="shared" si="3"/>
        <v>0.71197222707084817</v>
      </c>
    </row>
    <row r="7" spans="1:10" ht="14.4" x14ac:dyDescent="0.3">
      <c r="A7" s="7" t="s">
        <v>540</v>
      </c>
      <c r="B7" s="7">
        <v>5359</v>
      </c>
      <c r="C7" s="8">
        <v>14315175.35</v>
      </c>
      <c r="D7" s="21">
        <f t="shared" si="4"/>
        <v>5207</v>
      </c>
      <c r="E7" s="21"/>
      <c r="F7" s="21">
        <f>0.3*B7+0.7*F6</f>
        <v>6653.6639999999989</v>
      </c>
      <c r="G7" s="21">
        <f t="shared" si="5"/>
        <v>5207</v>
      </c>
      <c r="H7" s="7">
        <f t="shared" si="0"/>
        <v>152</v>
      </c>
      <c r="I7" s="22">
        <f t="shared" si="2"/>
        <v>2.8363500653106923E-2</v>
      </c>
      <c r="J7" s="22">
        <f t="shared" si="3"/>
        <v>0.54107004546641291</v>
      </c>
    </row>
    <row r="8" spans="1:10" ht="14.4" x14ac:dyDescent="0.3">
      <c r="A8" s="4" t="s">
        <v>541</v>
      </c>
      <c r="B8" s="4">
        <v>4198</v>
      </c>
      <c r="C8" s="5">
        <v>3598995.65</v>
      </c>
      <c r="D8" s="19">
        <f t="shared" si="4"/>
        <v>5095.333333333333</v>
      </c>
      <c r="E8" s="19">
        <f t="shared" ref="E8:E27" si="6">AVERAGE(B4:B8)</f>
        <v>5816</v>
      </c>
      <c r="F8" s="19">
        <f t="shared" si="1"/>
        <v>5916.9647999999988</v>
      </c>
      <c r="G8" s="19">
        <f t="shared" si="5"/>
        <v>5095.333333333333</v>
      </c>
      <c r="H8" s="4">
        <f t="shared" si="0"/>
        <v>897.33333333333303</v>
      </c>
      <c r="I8" s="20">
        <f t="shared" si="2"/>
        <v>0.21375258059393354</v>
      </c>
      <c r="J8" s="20">
        <f t="shared" si="3"/>
        <v>0.47560655249191708</v>
      </c>
    </row>
    <row r="9" spans="1:10" ht="14.4" x14ac:dyDescent="0.3">
      <c r="A9" s="7" t="s">
        <v>542</v>
      </c>
      <c r="B9" s="7">
        <v>8253</v>
      </c>
      <c r="C9" s="8">
        <v>20628042.09</v>
      </c>
      <c r="D9" s="21">
        <f t="shared" si="4"/>
        <v>5936.666666666667</v>
      </c>
      <c r="E9" s="21">
        <f t="shared" si="6"/>
        <v>5614.4</v>
      </c>
      <c r="F9" s="21">
        <f t="shared" si="1"/>
        <v>6617.7753599999996</v>
      </c>
      <c r="G9" s="21">
        <f t="shared" si="5"/>
        <v>5936.666666666667</v>
      </c>
      <c r="H9" s="7">
        <f t="shared" si="0"/>
        <v>2316.333333333333</v>
      </c>
      <c r="I9" s="22">
        <f t="shared" si="2"/>
        <v>0.2806656165434791</v>
      </c>
      <c r="J9" s="22">
        <f t="shared" si="3"/>
        <v>0.44311639650051077</v>
      </c>
    </row>
    <row r="10" spans="1:10" ht="14.4" x14ac:dyDescent="0.3">
      <c r="A10" s="4" t="s">
        <v>543</v>
      </c>
      <c r="B10" s="4">
        <v>7709</v>
      </c>
      <c r="C10" s="5">
        <v>22295628.530000001</v>
      </c>
      <c r="D10" s="19">
        <f t="shared" si="4"/>
        <v>6720</v>
      </c>
      <c r="E10" s="19">
        <f t="shared" si="6"/>
        <v>6249.6</v>
      </c>
      <c r="F10" s="19">
        <f t="shared" si="1"/>
        <v>6945.1427519999988</v>
      </c>
      <c r="G10" s="19">
        <f t="shared" si="5"/>
        <v>6720</v>
      </c>
      <c r="H10" s="4">
        <f t="shared" si="0"/>
        <v>989</v>
      </c>
      <c r="I10" s="20">
        <f t="shared" si="2"/>
        <v>0.1282916072123492</v>
      </c>
      <c r="J10" s="20">
        <f t="shared" si="3"/>
        <v>0.39814142660220198</v>
      </c>
    </row>
    <row r="11" spans="1:10" ht="14.4" x14ac:dyDescent="0.3">
      <c r="A11" s="7" t="s">
        <v>544</v>
      </c>
      <c r="B11" s="7">
        <v>5557</v>
      </c>
      <c r="C11" s="8">
        <v>20407153.780000001</v>
      </c>
      <c r="D11" s="21">
        <f t="shared" si="4"/>
        <v>7173</v>
      </c>
      <c r="E11" s="21">
        <f t="shared" si="6"/>
        <v>6215.2</v>
      </c>
      <c r="F11" s="21">
        <f t="shared" si="1"/>
        <v>6528.6999263999987</v>
      </c>
      <c r="G11" s="21">
        <f t="shared" si="5"/>
        <v>7173</v>
      </c>
      <c r="H11" s="7">
        <f t="shared" si="0"/>
        <v>1616</v>
      </c>
      <c r="I11" s="22">
        <f t="shared" si="2"/>
        <v>0.29080439085837684</v>
      </c>
      <c r="J11" s="22">
        <f t="shared" si="3"/>
        <v>0.38472429713422385</v>
      </c>
    </row>
    <row r="12" spans="1:10" ht="14.4" x14ac:dyDescent="0.3">
      <c r="A12" s="4" t="s">
        <v>545</v>
      </c>
      <c r="B12" s="4">
        <v>10739</v>
      </c>
      <c r="C12" s="5">
        <v>42227560.549999997</v>
      </c>
      <c r="D12" s="19">
        <f t="shared" si="4"/>
        <v>8001.666666666667</v>
      </c>
      <c r="E12" s="19">
        <f t="shared" si="6"/>
        <v>7291.2</v>
      </c>
      <c r="F12" s="19">
        <f t="shared" si="1"/>
        <v>7791.7899484799982</v>
      </c>
      <c r="G12" s="19">
        <f t="shared" si="5"/>
        <v>8001.666666666667</v>
      </c>
      <c r="H12" s="4">
        <f t="shared" si="0"/>
        <v>2737.333333333333</v>
      </c>
      <c r="I12" s="20">
        <f t="shared" si="2"/>
        <v>0.25489648322314301</v>
      </c>
      <c r="J12" s="20">
        <f t="shared" si="3"/>
        <v>0.37029898447743709</v>
      </c>
    </row>
    <row r="13" spans="1:10" ht="14.4" x14ac:dyDescent="0.3">
      <c r="A13" s="7" t="s">
        <v>546</v>
      </c>
      <c r="B13" s="7">
        <v>9088</v>
      </c>
      <c r="C13" s="8">
        <v>11355771.32</v>
      </c>
      <c r="D13" s="21">
        <f t="shared" si="4"/>
        <v>8461.3333333333339</v>
      </c>
      <c r="E13" s="21">
        <f t="shared" si="6"/>
        <v>8269.2000000000007</v>
      </c>
      <c r="F13" s="21">
        <f t="shared" si="1"/>
        <v>8180.6529639359978</v>
      </c>
      <c r="G13" s="21">
        <f t="shared" si="5"/>
        <v>8461.3333333333339</v>
      </c>
      <c r="H13" s="7">
        <f t="shared" si="0"/>
        <v>626.66666666666606</v>
      </c>
      <c r="I13" s="22">
        <f t="shared" si="2"/>
        <v>6.895539906103279E-2</v>
      </c>
      <c r="J13" s="22">
        <f t="shared" si="3"/>
        <v>0.34016462593579666</v>
      </c>
    </row>
    <row r="14" spans="1:10" ht="14.4" x14ac:dyDescent="0.3">
      <c r="A14" s="4" t="s">
        <v>547</v>
      </c>
      <c r="B14" s="4">
        <v>7552</v>
      </c>
      <c r="C14" s="5">
        <v>14788407.050000001</v>
      </c>
      <c r="D14" s="19">
        <f t="shared" si="4"/>
        <v>9126.3333333333339</v>
      </c>
      <c r="E14" s="19">
        <f t="shared" si="6"/>
        <v>8129</v>
      </c>
      <c r="F14" s="19">
        <f t="shared" si="1"/>
        <v>7992.0570747551974</v>
      </c>
      <c r="G14" s="19">
        <f t="shared" si="5"/>
        <v>9126.3333333333339</v>
      </c>
      <c r="H14" s="4">
        <f t="shared" si="0"/>
        <v>1574.3333333333339</v>
      </c>
      <c r="I14" s="20">
        <f t="shared" si="2"/>
        <v>0.20846574858757069</v>
      </c>
      <c r="J14" s="20">
        <f t="shared" si="3"/>
        <v>0.32819200072232158</v>
      </c>
    </row>
    <row r="15" spans="1:10" ht="14.4" x14ac:dyDescent="0.3">
      <c r="A15" s="7" t="s">
        <v>548</v>
      </c>
      <c r="B15" s="7">
        <v>6759</v>
      </c>
      <c r="C15" s="8">
        <v>4361846</v>
      </c>
      <c r="D15" s="21">
        <f t="shared" si="4"/>
        <v>7799.666666666667</v>
      </c>
      <c r="E15" s="21">
        <f t="shared" si="6"/>
        <v>7939</v>
      </c>
      <c r="F15" s="21">
        <f t="shared" si="1"/>
        <v>7622.1399523286373</v>
      </c>
      <c r="G15" s="21">
        <f t="shared" si="5"/>
        <v>7799.666666666667</v>
      </c>
      <c r="H15" s="7">
        <f t="shared" si="0"/>
        <v>1040.666666666667</v>
      </c>
      <c r="I15" s="22">
        <f t="shared" si="2"/>
        <v>0.15396754944025254</v>
      </c>
      <c r="J15" s="22">
        <f t="shared" si="3"/>
        <v>0.31367329644881581</v>
      </c>
    </row>
    <row r="16" spans="1:10" ht="14.4" x14ac:dyDescent="0.3">
      <c r="A16" s="4" t="s">
        <v>549</v>
      </c>
      <c r="B16" s="4">
        <v>4672</v>
      </c>
      <c r="C16" s="5">
        <v>7458522.0700000003</v>
      </c>
      <c r="D16" s="19">
        <f t="shared" si="4"/>
        <v>6327.666666666667</v>
      </c>
      <c r="E16" s="19">
        <f t="shared" si="6"/>
        <v>7762</v>
      </c>
      <c r="F16" s="19">
        <f t="shared" si="1"/>
        <v>6737.0979666300464</v>
      </c>
      <c r="G16" s="19">
        <f t="shared" si="5"/>
        <v>6327.666666666667</v>
      </c>
      <c r="H16" s="4">
        <f t="shared" si="0"/>
        <v>1655.666666666667</v>
      </c>
      <c r="I16" s="20">
        <f t="shared" si="2"/>
        <v>0.35438070776255715</v>
      </c>
      <c r="J16" s="20">
        <f t="shared" si="3"/>
        <v>0.31680463578064205</v>
      </c>
    </row>
    <row r="17" spans="1:10" ht="14.4" x14ac:dyDescent="0.3">
      <c r="A17" s="7" t="s">
        <v>550</v>
      </c>
      <c r="B17" s="7">
        <v>8253</v>
      </c>
      <c r="C17" s="8">
        <v>8282226.6600000001</v>
      </c>
      <c r="D17" s="21">
        <f t="shared" si="4"/>
        <v>6561.333333333333</v>
      </c>
      <c r="E17" s="21">
        <f t="shared" si="6"/>
        <v>7264.8</v>
      </c>
      <c r="F17" s="21">
        <f t="shared" si="1"/>
        <v>7191.8685766410326</v>
      </c>
      <c r="G17" s="21">
        <f t="shared" si="5"/>
        <v>6561.333333333333</v>
      </c>
      <c r="H17" s="7">
        <f t="shared" si="0"/>
        <v>1691.666666666667</v>
      </c>
      <c r="I17" s="22">
        <f t="shared" si="2"/>
        <v>0.20497596833474699</v>
      </c>
      <c r="J17" s="22">
        <f t="shared" si="3"/>
        <v>0.30881687382022094</v>
      </c>
    </row>
    <row r="18" spans="1:10" ht="14.4" x14ac:dyDescent="0.3">
      <c r="A18" s="4" t="s">
        <v>551</v>
      </c>
      <c r="B18" s="4">
        <v>8772</v>
      </c>
      <c r="C18" s="5">
        <v>11910437.83</v>
      </c>
      <c r="D18" s="19">
        <f t="shared" si="4"/>
        <v>7232.333333333333</v>
      </c>
      <c r="E18" s="19">
        <f t="shared" si="6"/>
        <v>7201.6</v>
      </c>
      <c r="F18" s="19">
        <f t="shared" si="1"/>
        <v>7665.908003648723</v>
      </c>
      <c r="G18" s="19">
        <f t="shared" si="5"/>
        <v>7232.333333333333</v>
      </c>
      <c r="H18" s="4">
        <f t="shared" si="0"/>
        <v>1539.666666666667</v>
      </c>
      <c r="I18" s="20">
        <f t="shared" si="2"/>
        <v>0.17552059583523336</v>
      </c>
      <c r="J18" s="20">
        <f t="shared" si="3"/>
        <v>0.29993045528788842</v>
      </c>
    </row>
    <row r="19" spans="1:10" ht="14.4" x14ac:dyDescent="0.3">
      <c r="A19" s="7" t="s">
        <v>552</v>
      </c>
      <c r="B19" s="7">
        <v>7896</v>
      </c>
      <c r="C19" s="8">
        <v>10554168.609999999</v>
      </c>
      <c r="D19" s="21">
        <f t="shared" si="4"/>
        <v>8307</v>
      </c>
      <c r="E19" s="21">
        <f t="shared" si="6"/>
        <v>7270.4</v>
      </c>
      <c r="F19" s="21">
        <f t="shared" si="1"/>
        <v>7734.9356025541056</v>
      </c>
      <c r="G19" s="21">
        <f t="shared" si="5"/>
        <v>8307</v>
      </c>
      <c r="H19" s="7">
        <f t="shared" si="0"/>
        <v>411</v>
      </c>
      <c r="I19" s="22">
        <f t="shared" si="2"/>
        <v>5.2051671732522793E-2</v>
      </c>
      <c r="J19" s="22">
        <f t="shared" si="3"/>
        <v>0.28443803131567807</v>
      </c>
    </row>
    <row r="20" spans="1:10" ht="14.4" x14ac:dyDescent="0.3">
      <c r="A20" s="4" t="s">
        <v>553</v>
      </c>
      <c r="B20" s="4">
        <v>3271</v>
      </c>
      <c r="C20" s="5">
        <v>10269457.76</v>
      </c>
      <c r="D20" s="19">
        <f t="shared" si="4"/>
        <v>6646.333333333333</v>
      </c>
      <c r="E20" s="19">
        <f t="shared" si="6"/>
        <v>6572.8</v>
      </c>
      <c r="F20" s="19">
        <f t="shared" si="1"/>
        <v>6395.7549217878741</v>
      </c>
      <c r="G20" s="19">
        <f t="shared" si="5"/>
        <v>6646.333333333333</v>
      </c>
      <c r="H20" s="4">
        <f t="shared" si="0"/>
        <v>3375.333333333333</v>
      </c>
      <c r="I20" s="20">
        <f t="shared" si="2"/>
        <v>1.0318964638744521</v>
      </c>
      <c r="J20" s="20">
        <f t="shared" si="3"/>
        <v>0.32840617440737069</v>
      </c>
    </row>
    <row r="21" spans="1:10" ht="15.75" customHeight="1" x14ac:dyDescent="0.3">
      <c r="A21" s="7" t="s">
        <v>554</v>
      </c>
      <c r="B21" s="7">
        <v>7892</v>
      </c>
      <c r="C21" s="8">
        <v>19307240.010000002</v>
      </c>
      <c r="D21" s="21">
        <f t="shared" si="4"/>
        <v>6353</v>
      </c>
      <c r="E21" s="21">
        <f t="shared" si="6"/>
        <v>7216.8</v>
      </c>
      <c r="F21" s="21">
        <f t="shared" si="1"/>
        <v>6844.6284452515119</v>
      </c>
      <c r="G21" s="21">
        <f t="shared" si="5"/>
        <v>6353</v>
      </c>
      <c r="H21" s="7">
        <f t="shared" si="0"/>
        <v>1539</v>
      </c>
      <c r="I21" s="22">
        <f t="shared" si="2"/>
        <v>0.19500760263558034</v>
      </c>
      <c r="J21" s="22">
        <f t="shared" si="3"/>
        <v>0.32099514264227119</v>
      </c>
    </row>
    <row r="22" spans="1:10" ht="15.75" customHeight="1" x14ac:dyDescent="0.3">
      <c r="A22" s="4" t="s">
        <v>555</v>
      </c>
      <c r="B22" s="4">
        <v>5443</v>
      </c>
      <c r="C22" s="5">
        <v>11754111.58</v>
      </c>
      <c r="D22" s="19">
        <f t="shared" si="4"/>
        <v>5535.333333333333</v>
      </c>
      <c r="E22" s="19">
        <f t="shared" si="6"/>
        <v>6654.8</v>
      </c>
      <c r="F22" s="19">
        <f t="shared" si="1"/>
        <v>6424.1399116760576</v>
      </c>
      <c r="G22" s="19">
        <f t="shared" si="5"/>
        <v>5535.333333333333</v>
      </c>
      <c r="H22" s="4">
        <f t="shared" si="0"/>
        <v>92.33333333333303</v>
      </c>
      <c r="I22" s="20">
        <f t="shared" si="2"/>
        <v>1.6963684242758226E-2</v>
      </c>
      <c r="J22" s="20">
        <f t="shared" si="3"/>
        <v>0.30499348693703365</v>
      </c>
    </row>
    <row r="23" spans="1:10" ht="15.75" customHeight="1" x14ac:dyDescent="0.3">
      <c r="A23" s="7" t="s">
        <v>556</v>
      </c>
      <c r="B23" s="7">
        <v>4518</v>
      </c>
      <c r="C23" s="8">
        <v>3571284.39</v>
      </c>
      <c r="D23" s="21">
        <f t="shared" si="4"/>
        <v>5951</v>
      </c>
      <c r="E23" s="21">
        <f t="shared" si="6"/>
        <v>5804</v>
      </c>
      <c r="F23" s="21">
        <f t="shared" si="1"/>
        <v>5852.2979381732393</v>
      </c>
      <c r="G23" s="21">
        <f t="shared" si="5"/>
        <v>5951</v>
      </c>
      <c r="H23" s="7">
        <f t="shared" si="0"/>
        <v>1433</v>
      </c>
      <c r="I23" s="22">
        <f t="shared" si="2"/>
        <v>0.31717574147853034</v>
      </c>
      <c r="J23" s="22">
        <f t="shared" si="3"/>
        <v>0.30560259966410852</v>
      </c>
    </row>
    <row r="24" spans="1:10" ht="15.75" customHeight="1" x14ac:dyDescent="0.3">
      <c r="A24" s="4" t="s">
        <v>557</v>
      </c>
      <c r="B24" s="4">
        <v>4734</v>
      </c>
      <c r="C24" s="5">
        <v>21461616.73</v>
      </c>
      <c r="D24" s="19">
        <f t="shared" si="4"/>
        <v>4898.333333333333</v>
      </c>
      <c r="E24" s="19">
        <f t="shared" si="6"/>
        <v>5171.6000000000004</v>
      </c>
      <c r="F24" s="19">
        <f t="shared" si="1"/>
        <v>5516.8085567212675</v>
      </c>
      <c r="G24" s="19">
        <f t="shared" si="5"/>
        <v>4898.333333333333</v>
      </c>
      <c r="H24" s="4">
        <f t="shared" si="0"/>
        <v>164.33333333333303</v>
      </c>
      <c r="I24" s="20">
        <f t="shared" si="2"/>
        <v>3.4713420644979516E-2</v>
      </c>
      <c r="J24" s="20">
        <f t="shared" si="3"/>
        <v>0.29270311494891188</v>
      </c>
    </row>
    <row r="25" spans="1:10" ht="15.75" customHeight="1" x14ac:dyDescent="0.3">
      <c r="A25" s="7" t="s">
        <v>558</v>
      </c>
      <c r="B25" s="7">
        <v>7992</v>
      </c>
      <c r="C25" s="8">
        <v>25808437.600000001</v>
      </c>
      <c r="D25" s="21">
        <f t="shared" si="4"/>
        <v>5748</v>
      </c>
      <c r="E25" s="21">
        <f t="shared" si="6"/>
        <v>6115.8</v>
      </c>
      <c r="F25" s="21">
        <f t="shared" si="1"/>
        <v>6259.3659897048874</v>
      </c>
      <c r="G25" s="21">
        <f t="shared" si="5"/>
        <v>5748</v>
      </c>
      <c r="H25" s="7">
        <f t="shared" si="0"/>
        <v>2244</v>
      </c>
      <c r="I25" s="22">
        <f t="shared" si="2"/>
        <v>0.28078078078078078</v>
      </c>
      <c r="J25" s="22">
        <f t="shared" si="3"/>
        <v>0.29216119066854229</v>
      </c>
    </row>
    <row r="26" spans="1:10" ht="15.75" customHeight="1" x14ac:dyDescent="0.3">
      <c r="A26" s="4" t="s">
        <v>559</v>
      </c>
      <c r="B26" s="4">
        <v>8454</v>
      </c>
      <c r="C26" s="5">
        <v>11778331.609999999</v>
      </c>
      <c r="D26" s="19">
        <f t="shared" si="4"/>
        <v>7060</v>
      </c>
      <c r="E26" s="19">
        <f t="shared" si="6"/>
        <v>6228.2</v>
      </c>
      <c r="F26" s="19">
        <f t="shared" si="1"/>
        <v>6917.7561927934203</v>
      </c>
      <c r="G26" s="19">
        <f t="shared" si="5"/>
        <v>7060</v>
      </c>
      <c r="H26" s="4">
        <f t="shared" si="0"/>
        <v>1394</v>
      </c>
      <c r="I26" s="20">
        <f t="shared" si="2"/>
        <v>0.16489235864679441</v>
      </c>
      <c r="J26" s="20">
        <f t="shared" si="3"/>
        <v>0.28662776318933586</v>
      </c>
    </row>
    <row r="27" spans="1:10" ht="15.75" customHeight="1" x14ac:dyDescent="0.3">
      <c r="A27" s="7" t="s">
        <v>560</v>
      </c>
      <c r="B27" s="7">
        <v>5652</v>
      </c>
      <c r="C27" s="8">
        <v>9322542.6500000004</v>
      </c>
      <c r="D27" s="21">
        <f t="shared" si="4"/>
        <v>7366</v>
      </c>
      <c r="E27" s="21">
        <f t="shared" si="6"/>
        <v>6270</v>
      </c>
      <c r="F27" s="21">
        <f t="shared" si="1"/>
        <v>6538.029334955394</v>
      </c>
      <c r="G27" s="21">
        <f t="shared" si="5"/>
        <v>7366</v>
      </c>
      <c r="H27" s="7">
        <f t="shared" si="0"/>
        <v>1714</v>
      </c>
      <c r="I27" s="22">
        <f t="shared" si="2"/>
        <v>0.30325548478414721</v>
      </c>
      <c r="J27" s="22">
        <f t="shared" si="3"/>
        <v>0.28732058492245299</v>
      </c>
    </row>
    <row r="28" spans="1:10" ht="15.75" customHeight="1" x14ac:dyDescent="0.3"/>
    <row r="29" spans="1:10" ht="24.75" customHeight="1" x14ac:dyDescent="0.3">
      <c r="A29" s="51" t="s">
        <v>561</v>
      </c>
      <c r="B29" s="36"/>
      <c r="C29" s="36"/>
      <c r="D29" s="37"/>
    </row>
    <row r="30" spans="1:10" ht="15.75" customHeight="1" x14ac:dyDescent="0.3">
      <c r="A30" s="23" t="s">
        <v>562</v>
      </c>
      <c r="B30" s="24">
        <f>AVERAGE(B4:B27)</f>
        <v>6761.916666666667</v>
      </c>
    </row>
    <row r="31" spans="1:10" ht="15.75" customHeight="1" x14ac:dyDescent="0.3">
      <c r="A31" s="23" t="s">
        <v>563</v>
      </c>
      <c r="B31" s="14" t="str">
        <f t="array" ref="B31">INDEX(A4:A27,MATCH(MAX(B4:B27),B4:B27,0))</f>
        <v>2023-09</v>
      </c>
    </row>
    <row r="32" spans="1:10" ht="15.75" customHeight="1" x14ac:dyDescent="0.3">
      <c r="A32" s="23" t="s">
        <v>564</v>
      </c>
      <c r="B32" s="14" t="str">
        <f t="array" ref="B32">INDEX(A4:A27,MATCH(MIN(B4:B27),B4:B27,0))</f>
        <v>2024-05</v>
      </c>
    </row>
    <row r="33" spans="1:4" ht="15.75" customHeight="1" x14ac:dyDescent="0.3">
      <c r="A33" s="23" t="s">
        <v>565</v>
      </c>
      <c r="B33" s="15" t="s">
        <v>566</v>
      </c>
    </row>
    <row r="34" spans="1:4" ht="15.75" customHeight="1" x14ac:dyDescent="0.3">
      <c r="A34" s="23" t="s">
        <v>567</v>
      </c>
      <c r="B34" s="15">
        <f>AVERAGE(I6:I27)</f>
        <v>0.22253154718813051</v>
      </c>
    </row>
    <row r="35" spans="1:4" ht="15.75" customHeight="1" x14ac:dyDescent="0.3">
      <c r="A35" s="23" t="s">
        <v>568</v>
      </c>
      <c r="B35" s="15">
        <f>AVERAGE(I8:I27)</f>
        <v>0.23657069281366105</v>
      </c>
    </row>
    <row r="36" spans="1:4" ht="15.75" customHeight="1" x14ac:dyDescent="0.3"/>
    <row r="37" spans="1:4" ht="21.75" customHeight="1" x14ac:dyDescent="0.3">
      <c r="A37" s="52" t="s">
        <v>569</v>
      </c>
      <c r="B37" s="36"/>
      <c r="C37" s="36"/>
      <c r="D37" s="37"/>
    </row>
    <row r="38" spans="1:4" ht="15.75" customHeight="1" x14ac:dyDescent="0.3">
      <c r="A38" s="14" t="s">
        <v>570</v>
      </c>
      <c r="B38" s="24">
        <f>D27</f>
        <v>7366</v>
      </c>
    </row>
    <row r="39" spans="1:4" ht="15.75" customHeight="1" x14ac:dyDescent="0.3">
      <c r="A39" s="14" t="s">
        <v>571</v>
      </c>
      <c r="B39" s="24">
        <f>D27</f>
        <v>7366</v>
      </c>
    </row>
    <row r="40" spans="1:4" ht="15.75" customHeight="1" x14ac:dyDescent="0.3">
      <c r="A40" s="14" t="s">
        <v>572</v>
      </c>
      <c r="B40" s="24">
        <f>D27</f>
        <v>7366</v>
      </c>
    </row>
    <row r="41" spans="1:4" ht="15.75" customHeight="1" x14ac:dyDescent="0.3"/>
    <row r="42" spans="1:4" ht="15.75" customHeight="1" x14ac:dyDescent="0.3"/>
    <row r="43" spans="1:4" ht="15.75" customHeight="1" x14ac:dyDescent="0.3"/>
    <row r="44" spans="1:4" ht="15.75" customHeight="1" x14ac:dyDescent="0.3"/>
    <row r="45" spans="1:4" ht="15.75" customHeight="1" x14ac:dyDescent="0.3"/>
    <row r="46" spans="1:4" ht="15.75" customHeight="1" x14ac:dyDescent="0.3"/>
    <row r="47" spans="1:4" ht="15.75" customHeight="1" x14ac:dyDescent="0.3"/>
    <row r="48" spans="1:4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A1:J1"/>
    <mergeCell ref="A29:D29"/>
    <mergeCell ref="A37:D37"/>
  </mergeCells>
  <pageMargins left="0.75" right="0.75" top="1" bottom="1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1000"/>
  <sheetViews>
    <sheetView showGridLines="0" topLeftCell="F4" workbookViewId="0">
      <selection activeCell="L3" sqref="L3"/>
    </sheetView>
  </sheetViews>
  <sheetFormatPr defaultColWidth="14.44140625" defaultRowHeight="15" customHeight="1" x14ac:dyDescent="0.3"/>
  <cols>
    <col min="1" max="1" width="12" customWidth="1"/>
    <col min="2" max="2" width="24" customWidth="1"/>
    <col min="3" max="3" width="14" customWidth="1"/>
    <col min="4" max="4" width="24" customWidth="1"/>
    <col min="5" max="5" width="14" customWidth="1"/>
    <col min="6" max="6" width="18" customWidth="1"/>
    <col min="7" max="8" width="14" customWidth="1"/>
    <col min="9" max="9" width="16" customWidth="1"/>
    <col min="10" max="10" width="18" customWidth="1"/>
    <col min="11" max="12" width="16" customWidth="1"/>
    <col min="13" max="13" width="18" customWidth="1"/>
    <col min="14" max="14" width="12" customWidth="1"/>
    <col min="15" max="15" width="18" customWidth="1"/>
    <col min="16" max="16" width="14" customWidth="1"/>
    <col min="17" max="26" width="8.6640625" customWidth="1"/>
  </cols>
  <sheetData>
    <row r="1" spans="1:16" ht="30" customHeight="1" x14ac:dyDescent="0.3">
      <c r="A1" s="50" t="s">
        <v>573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7"/>
    </row>
    <row r="3" spans="1:16" ht="24.75" customHeight="1" x14ac:dyDescent="0.3">
      <c r="A3" s="3" t="s">
        <v>22</v>
      </c>
      <c r="B3" s="3" t="s">
        <v>23</v>
      </c>
      <c r="C3" s="3" t="s">
        <v>574</v>
      </c>
      <c r="D3" s="3" t="s">
        <v>575</v>
      </c>
      <c r="E3" s="3" t="s">
        <v>576</v>
      </c>
      <c r="F3" s="3" t="s">
        <v>577</v>
      </c>
      <c r="G3" s="3" t="s">
        <v>578</v>
      </c>
      <c r="H3" s="3" t="s">
        <v>579</v>
      </c>
      <c r="I3" s="3" t="s">
        <v>580</v>
      </c>
      <c r="J3" s="3" t="s">
        <v>581</v>
      </c>
      <c r="K3" s="3" t="s">
        <v>582</v>
      </c>
      <c r="L3" s="3" t="s">
        <v>583</v>
      </c>
      <c r="M3" s="3" t="s">
        <v>584</v>
      </c>
      <c r="N3" s="3" t="s">
        <v>585</v>
      </c>
      <c r="O3" s="3" t="s">
        <v>586</v>
      </c>
      <c r="P3" s="3" t="s">
        <v>587</v>
      </c>
    </row>
    <row r="4" spans="1:16" ht="14.4" x14ac:dyDescent="0.3">
      <c r="A4" s="4" t="s">
        <v>108</v>
      </c>
      <c r="B4" s="4" t="s">
        <v>109</v>
      </c>
      <c r="C4" s="4" t="s">
        <v>62</v>
      </c>
      <c r="D4" s="4" t="s">
        <v>588</v>
      </c>
      <c r="E4" s="4">
        <v>31</v>
      </c>
      <c r="F4" s="4">
        <v>16.7</v>
      </c>
      <c r="G4" s="4">
        <v>5</v>
      </c>
      <c r="H4" s="4">
        <v>35</v>
      </c>
      <c r="I4" s="5">
        <v>3721.59</v>
      </c>
      <c r="J4" s="5">
        <v>83447718.299999997</v>
      </c>
      <c r="K4" s="6">
        <v>0.84</v>
      </c>
      <c r="L4" s="4">
        <v>24</v>
      </c>
      <c r="M4" s="4">
        <v>7</v>
      </c>
      <c r="N4" s="20">
        <f t="shared" ref="N4:N11" si="0">M4/E4</f>
        <v>0.22580645161290322</v>
      </c>
      <c r="O4" s="4" t="str">
        <f t="shared" ref="O4:O11" si="1">IF(K4&gt;=0.93,"A – Preferred",IF(K4&gt;=0.85,"B – Acceptable",IF(K4&gt;=0.78,"C – Monitor","D – Exit")))</f>
        <v>C – Monitor</v>
      </c>
      <c r="P4" s="4" t="str">
        <f t="shared" ref="P4:P11" si="2">IF(AND(F4&gt;20,K4&lt;0.85),"HIGH RISK",IF(OR(F4&gt;20,K4&lt;0.85),"MODERATE","LOW"))</f>
        <v>MODERATE</v>
      </c>
    </row>
    <row r="5" spans="1:16" ht="14.4" x14ac:dyDescent="0.3">
      <c r="A5" s="7" t="s">
        <v>71</v>
      </c>
      <c r="B5" s="7" t="s">
        <v>72</v>
      </c>
      <c r="C5" s="7" t="s">
        <v>73</v>
      </c>
      <c r="D5" s="7" t="s">
        <v>589</v>
      </c>
      <c r="E5" s="7">
        <v>22</v>
      </c>
      <c r="F5" s="7">
        <v>10.7</v>
      </c>
      <c r="G5" s="7">
        <v>5</v>
      </c>
      <c r="H5" s="7">
        <v>35</v>
      </c>
      <c r="I5" s="8">
        <v>1613.1</v>
      </c>
      <c r="J5" s="8">
        <v>22251393.98</v>
      </c>
      <c r="K5" s="9">
        <v>0.81</v>
      </c>
      <c r="L5" s="7">
        <v>21</v>
      </c>
      <c r="M5" s="7">
        <v>1</v>
      </c>
      <c r="N5" s="22">
        <f t="shared" si="0"/>
        <v>4.5454545454545456E-2</v>
      </c>
      <c r="O5" s="7" t="str">
        <f t="shared" si="1"/>
        <v>C – Monitor</v>
      </c>
      <c r="P5" s="7" t="str">
        <f t="shared" si="2"/>
        <v>MODERATE</v>
      </c>
    </row>
    <row r="6" spans="1:16" ht="14.4" x14ac:dyDescent="0.3">
      <c r="A6" s="4" t="s">
        <v>81</v>
      </c>
      <c r="B6" s="4" t="s">
        <v>82</v>
      </c>
      <c r="C6" s="4" t="s">
        <v>83</v>
      </c>
      <c r="D6" s="4" t="s">
        <v>590</v>
      </c>
      <c r="E6" s="4">
        <v>61</v>
      </c>
      <c r="F6" s="4">
        <v>4.7</v>
      </c>
      <c r="G6" s="4">
        <v>2</v>
      </c>
      <c r="H6" s="4">
        <v>10</v>
      </c>
      <c r="I6" s="5">
        <v>444.48</v>
      </c>
      <c r="J6" s="5">
        <v>17992927.309999999</v>
      </c>
      <c r="K6" s="6">
        <v>0.83</v>
      </c>
      <c r="L6" s="4">
        <v>46</v>
      </c>
      <c r="M6" s="4">
        <v>15</v>
      </c>
      <c r="N6" s="20">
        <f t="shared" si="0"/>
        <v>0.24590163934426229</v>
      </c>
      <c r="O6" s="4" t="str">
        <f t="shared" si="1"/>
        <v>C – Monitor</v>
      </c>
      <c r="P6" s="4" t="str">
        <f t="shared" si="2"/>
        <v>MODERATE</v>
      </c>
    </row>
    <row r="7" spans="1:16" ht="14.4" x14ac:dyDescent="0.3">
      <c r="A7" s="7" t="s">
        <v>104</v>
      </c>
      <c r="B7" s="7" t="s">
        <v>105</v>
      </c>
      <c r="C7" s="7" t="s">
        <v>106</v>
      </c>
      <c r="D7" s="7" t="s">
        <v>591</v>
      </c>
      <c r="E7" s="7">
        <v>37</v>
      </c>
      <c r="F7" s="7">
        <v>13.5</v>
      </c>
      <c r="G7" s="7">
        <v>5</v>
      </c>
      <c r="H7" s="7">
        <v>35</v>
      </c>
      <c r="I7" s="8">
        <v>2497.7600000000002</v>
      </c>
      <c r="J7" s="8">
        <v>48180673</v>
      </c>
      <c r="K7" s="9">
        <v>0.86</v>
      </c>
      <c r="L7" s="7">
        <v>28</v>
      </c>
      <c r="M7" s="7">
        <v>9</v>
      </c>
      <c r="N7" s="22">
        <f t="shared" si="0"/>
        <v>0.24324324324324326</v>
      </c>
      <c r="O7" s="7" t="str">
        <f t="shared" si="1"/>
        <v>B – Acceptable</v>
      </c>
      <c r="P7" s="7" t="str">
        <f t="shared" si="2"/>
        <v>LOW</v>
      </c>
    </row>
    <row r="8" spans="1:16" ht="14.4" x14ac:dyDescent="0.3">
      <c r="A8" s="4" t="s">
        <v>91</v>
      </c>
      <c r="B8" s="4" t="s">
        <v>92</v>
      </c>
      <c r="C8" s="4" t="s">
        <v>51</v>
      </c>
      <c r="D8" s="4" t="s">
        <v>592</v>
      </c>
      <c r="E8" s="4">
        <v>50</v>
      </c>
      <c r="F8" s="4">
        <v>7.4</v>
      </c>
      <c r="G8" s="4">
        <v>4</v>
      </c>
      <c r="H8" s="4">
        <v>15</v>
      </c>
      <c r="I8" s="5">
        <v>905.04</v>
      </c>
      <c r="J8" s="5">
        <v>30153435.699999999</v>
      </c>
      <c r="K8" s="6">
        <v>0.84</v>
      </c>
      <c r="L8" s="4">
        <v>41</v>
      </c>
      <c r="M8" s="4">
        <v>9</v>
      </c>
      <c r="N8" s="20">
        <f t="shared" si="0"/>
        <v>0.18</v>
      </c>
      <c r="O8" s="4" t="str">
        <f t="shared" si="1"/>
        <v>C – Monitor</v>
      </c>
      <c r="P8" s="4" t="str">
        <f t="shared" si="2"/>
        <v>MODERATE</v>
      </c>
    </row>
    <row r="9" spans="1:16" ht="14.4" x14ac:dyDescent="0.3">
      <c r="A9" s="7" t="s">
        <v>60</v>
      </c>
      <c r="B9" s="7" t="s">
        <v>61</v>
      </c>
      <c r="C9" s="7" t="s">
        <v>62</v>
      </c>
      <c r="D9" s="7" t="s">
        <v>593</v>
      </c>
      <c r="E9" s="7">
        <v>53</v>
      </c>
      <c r="F9" s="7">
        <v>4.5999999999999996</v>
      </c>
      <c r="G9" s="7">
        <v>2</v>
      </c>
      <c r="H9" s="7">
        <v>35</v>
      </c>
      <c r="I9" s="8">
        <v>505.4</v>
      </c>
      <c r="J9" s="8">
        <v>20494682.989999998</v>
      </c>
      <c r="K9" s="9">
        <v>0.83</v>
      </c>
      <c r="L9" s="7">
        <v>40</v>
      </c>
      <c r="M9" s="7">
        <v>13</v>
      </c>
      <c r="N9" s="22">
        <f t="shared" si="0"/>
        <v>0.24528301886792453</v>
      </c>
      <c r="O9" s="7" t="str">
        <f t="shared" si="1"/>
        <v>C – Monitor</v>
      </c>
      <c r="P9" s="7" t="str">
        <f t="shared" si="2"/>
        <v>MODERATE</v>
      </c>
    </row>
    <row r="10" spans="1:16" ht="14.4" x14ac:dyDescent="0.3">
      <c r="A10" s="4" t="s">
        <v>189</v>
      </c>
      <c r="B10" s="4" t="s">
        <v>190</v>
      </c>
      <c r="C10" s="4" t="s">
        <v>73</v>
      </c>
      <c r="D10" s="4" t="s">
        <v>100</v>
      </c>
      <c r="E10" s="4">
        <v>35</v>
      </c>
      <c r="F10" s="4">
        <v>16.2</v>
      </c>
      <c r="G10" s="4">
        <v>7</v>
      </c>
      <c r="H10" s="4">
        <v>25</v>
      </c>
      <c r="I10" s="5">
        <v>3176.25</v>
      </c>
      <c r="J10" s="5">
        <v>83871140.659999996</v>
      </c>
      <c r="K10" s="6">
        <v>0.82</v>
      </c>
      <c r="L10" s="4">
        <v>27</v>
      </c>
      <c r="M10" s="4">
        <v>8</v>
      </c>
      <c r="N10" s="20">
        <f t="shared" si="0"/>
        <v>0.22857142857142856</v>
      </c>
      <c r="O10" s="4" t="str">
        <f t="shared" si="1"/>
        <v>C – Monitor</v>
      </c>
      <c r="P10" s="4" t="str">
        <f t="shared" si="2"/>
        <v>MODERATE</v>
      </c>
    </row>
    <row r="11" spans="1:16" ht="14.4" x14ac:dyDescent="0.3">
      <c r="A11" s="7" t="s">
        <v>49</v>
      </c>
      <c r="B11" s="7" t="s">
        <v>50</v>
      </c>
      <c r="C11" s="7" t="s">
        <v>51</v>
      </c>
      <c r="D11" s="7" t="s">
        <v>589</v>
      </c>
      <c r="E11" s="7">
        <v>31</v>
      </c>
      <c r="F11" s="7">
        <v>10.5</v>
      </c>
      <c r="G11" s="7">
        <v>5</v>
      </c>
      <c r="H11" s="7">
        <v>35</v>
      </c>
      <c r="I11" s="8">
        <v>1762.67</v>
      </c>
      <c r="J11" s="8">
        <v>43093327.390000001</v>
      </c>
      <c r="K11" s="9">
        <v>0.84</v>
      </c>
      <c r="L11" s="7">
        <v>21</v>
      </c>
      <c r="M11" s="7">
        <v>10</v>
      </c>
      <c r="N11" s="22">
        <f t="shared" si="0"/>
        <v>0.32258064516129031</v>
      </c>
      <c r="O11" s="7" t="str">
        <f t="shared" si="1"/>
        <v>C – Monitor</v>
      </c>
      <c r="P11" s="7" t="str">
        <f t="shared" si="2"/>
        <v>MODERATE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P1"/>
  </mergeCells>
  <pageMargins left="0.75" right="0.75" top="1" bottom="1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1000"/>
  <sheetViews>
    <sheetView showGridLines="0" zoomScale="40" zoomScaleNormal="40" workbookViewId="0">
      <selection activeCell="AD31" sqref="AD31"/>
    </sheetView>
  </sheetViews>
  <sheetFormatPr defaultColWidth="14.44140625" defaultRowHeight="15" customHeight="1" x14ac:dyDescent="0.3"/>
  <cols>
    <col min="1" max="1" width="12" customWidth="1"/>
    <col min="2" max="2" width="14" customWidth="1"/>
    <col min="3" max="3" width="16" customWidth="1"/>
    <col min="4" max="6" width="12" customWidth="1"/>
    <col min="7" max="8" width="16" customWidth="1"/>
    <col min="9" max="9" width="18" customWidth="1"/>
    <col min="10" max="10" width="22" customWidth="1"/>
    <col min="11" max="11" width="18" customWidth="1"/>
    <col min="12" max="12" width="20" customWidth="1"/>
    <col min="13" max="13" width="12" customWidth="1"/>
    <col min="14" max="15" width="8.6640625" customWidth="1"/>
    <col min="16" max="16" width="14.5546875" style="100" customWidth="1"/>
    <col min="17" max="26" width="8.6640625" customWidth="1"/>
  </cols>
  <sheetData>
    <row r="1" spans="1:13" ht="30" customHeight="1" x14ac:dyDescent="0.3">
      <c r="A1" s="50" t="s">
        <v>594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7"/>
    </row>
    <row r="3" spans="1:13" ht="24.75" customHeight="1" x14ac:dyDescent="0.3">
      <c r="A3" s="3" t="s">
        <v>595</v>
      </c>
      <c r="B3" s="3" t="s">
        <v>596</v>
      </c>
      <c r="C3" s="3" t="s">
        <v>597</v>
      </c>
      <c r="D3" s="3" t="s">
        <v>598</v>
      </c>
      <c r="E3" s="3" t="s">
        <v>599</v>
      </c>
      <c r="F3" s="3" t="s">
        <v>585</v>
      </c>
      <c r="G3" s="3" t="s">
        <v>600</v>
      </c>
      <c r="H3" s="3" t="s">
        <v>601</v>
      </c>
      <c r="I3" s="3" t="s">
        <v>602</v>
      </c>
      <c r="J3" s="3" t="s">
        <v>603</v>
      </c>
      <c r="K3" s="3" t="s">
        <v>604</v>
      </c>
      <c r="L3" s="3" t="s">
        <v>605</v>
      </c>
      <c r="M3" s="3" t="s">
        <v>606</v>
      </c>
    </row>
    <row r="4" spans="1:13" ht="14.4" x14ac:dyDescent="0.3">
      <c r="A4" s="25" t="s">
        <v>58</v>
      </c>
      <c r="B4" s="25" t="s">
        <v>607</v>
      </c>
      <c r="C4" s="25">
        <v>139</v>
      </c>
      <c r="D4" s="25">
        <v>28</v>
      </c>
      <c r="E4" s="25">
        <v>111</v>
      </c>
      <c r="F4" s="26">
        <f t="shared" ref="F4:F17" si="0">D4/C4</f>
        <v>0.20143884892086331</v>
      </c>
      <c r="G4" s="25">
        <v>4.3</v>
      </c>
      <c r="H4" s="25">
        <v>13</v>
      </c>
      <c r="I4" s="25">
        <v>22.1</v>
      </c>
      <c r="J4" s="25">
        <v>593374</v>
      </c>
      <c r="K4" s="25">
        <v>155376685.97</v>
      </c>
      <c r="L4" s="26">
        <f t="shared" ref="L4:L17" si="1">J4/K4</f>
        <v>3.8189384481695544E-3</v>
      </c>
      <c r="M4" s="25" t="str">
        <f t="shared" ref="M4:M17" si="2">IF(F4&gt;=0.9,"Good",IF(F4&gt;=0.75,"Watch","Alert"))</f>
        <v>Alert</v>
      </c>
    </row>
    <row r="5" spans="1:13" ht="14.4" x14ac:dyDescent="0.3">
      <c r="A5" s="7" t="s">
        <v>58</v>
      </c>
      <c r="B5" s="7" t="s">
        <v>90</v>
      </c>
      <c r="C5" s="7">
        <v>56</v>
      </c>
      <c r="D5" s="7">
        <v>12</v>
      </c>
      <c r="E5" s="7">
        <v>44</v>
      </c>
      <c r="F5" s="22">
        <f t="shared" si="0"/>
        <v>0.21428571428571427</v>
      </c>
      <c r="G5" s="7">
        <v>4.8</v>
      </c>
      <c r="H5" s="7">
        <v>12</v>
      </c>
      <c r="I5" s="7">
        <v>23.4</v>
      </c>
      <c r="J5" s="7">
        <v>237694</v>
      </c>
      <c r="K5" s="7">
        <v>61508255.409999996</v>
      </c>
      <c r="L5" s="22">
        <f t="shared" si="1"/>
        <v>3.8644243510986618E-3</v>
      </c>
      <c r="M5" s="7" t="str">
        <f t="shared" si="2"/>
        <v>Alert</v>
      </c>
    </row>
    <row r="6" spans="1:13" ht="14.4" x14ac:dyDescent="0.3">
      <c r="A6" s="4" t="s">
        <v>58</v>
      </c>
      <c r="B6" s="4" t="s">
        <v>59</v>
      </c>
      <c r="C6" s="4">
        <v>71</v>
      </c>
      <c r="D6" s="4">
        <v>14</v>
      </c>
      <c r="E6" s="4">
        <v>57</v>
      </c>
      <c r="F6" s="20">
        <f t="shared" si="0"/>
        <v>0.19718309859154928</v>
      </c>
      <c r="G6" s="4">
        <v>4.0999999999999996</v>
      </c>
      <c r="H6" s="4">
        <v>13</v>
      </c>
      <c r="I6" s="4">
        <v>21.2</v>
      </c>
      <c r="J6" s="4">
        <v>295980</v>
      </c>
      <c r="K6" s="4">
        <v>86637879.900000006</v>
      </c>
      <c r="L6" s="20">
        <f t="shared" si="1"/>
        <v>3.4162885834882945E-3</v>
      </c>
      <c r="M6" s="4" t="str">
        <f t="shared" si="2"/>
        <v>Alert</v>
      </c>
    </row>
    <row r="7" spans="1:13" ht="14.4" x14ac:dyDescent="0.3">
      <c r="A7" s="7" t="s">
        <v>58</v>
      </c>
      <c r="B7" s="7" t="s">
        <v>96</v>
      </c>
      <c r="C7" s="7">
        <v>12</v>
      </c>
      <c r="D7" s="7">
        <v>2</v>
      </c>
      <c r="E7" s="7">
        <v>10</v>
      </c>
      <c r="F7" s="22">
        <f t="shared" si="0"/>
        <v>0.16666666666666666</v>
      </c>
      <c r="G7" s="7">
        <v>3.2</v>
      </c>
      <c r="H7" s="7">
        <v>8</v>
      </c>
      <c r="I7" s="7">
        <v>20.9</v>
      </c>
      <c r="J7" s="7">
        <v>59700</v>
      </c>
      <c r="K7" s="7">
        <v>7230550.6600000001</v>
      </c>
      <c r="L7" s="22">
        <f t="shared" si="1"/>
        <v>8.2566325591583636E-3</v>
      </c>
      <c r="M7" s="7" t="str">
        <f t="shared" si="2"/>
        <v>Alert</v>
      </c>
    </row>
    <row r="8" spans="1:13" ht="14.4" x14ac:dyDescent="0.3">
      <c r="A8" s="25" t="s">
        <v>69</v>
      </c>
      <c r="B8" s="25" t="s">
        <v>607</v>
      </c>
      <c r="C8" s="25">
        <v>107</v>
      </c>
      <c r="D8" s="25">
        <v>29</v>
      </c>
      <c r="E8" s="25">
        <v>78</v>
      </c>
      <c r="F8" s="26">
        <f t="shared" si="0"/>
        <v>0.27102803738317754</v>
      </c>
      <c r="G8" s="25">
        <v>3.8</v>
      </c>
      <c r="H8" s="25">
        <v>13</v>
      </c>
      <c r="I8" s="25">
        <v>22.4</v>
      </c>
      <c r="J8" s="25">
        <v>474306</v>
      </c>
      <c r="K8" s="25">
        <v>92862850.090000004</v>
      </c>
      <c r="L8" s="26">
        <f t="shared" si="1"/>
        <v>5.1075968435204851E-3</v>
      </c>
      <c r="M8" s="25" t="str">
        <f t="shared" si="2"/>
        <v>Alert</v>
      </c>
    </row>
    <row r="9" spans="1:13" ht="14.4" x14ac:dyDescent="0.3">
      <c r="A9" s="7" t="s">
        <v>69</v>
      </c>
      <c r="B9" s="7" t="s">
        <v>80</v>
      </c>
      <c r="C9" s="7">
        <v>24</v>
      </c>
      <c r="D9" s="7">
        <v>6</v>
      </c>
      <c r="E9" s="7">
        <v>18</v>
      </c>
      <c r="F9" s="22">
        <f t="shared" si="0"/>
        <v>0.25</v>
      </c>
      <c r="G9" s="7">
        <v>4.2</v>
      </c>
      <c r="H9" s="7">
        <v>10</v>
      </c>
      <c r="I9" s="7">
        <v>22.3</v>
      </c>
      <c r="J9" s="7">
        <v>101432</v>
      </c>
      <c r="K9" s="7">
        <v>31391382.530000001</v>
      </c>
      <c r="L9" s="22">
        <f t="shared" si="1"/>
        <v>3.2312052488629272E-3</v>
      </c>
      <c r="M9" s="7" t="str">
        <f t="shared" si="2"/>
        <v>Alert</v>
      </c>
    </row>
    <row r="10" spans="1:13" ht="14.4" x14ac:dyDescent="0.3">
      <c r="A10" s="4" t="s">
        <v>69</v>
      </c>
      <c r="B10" s="4" t="s">
        <v>70</v>
      </c>
      <c r="C10" s="4">
        <v>60</v>
      </c>
      <c r="D10" s="4">
        <v>16</v>
      </c>
      <c r="E10" s="4">
        <v>44</v>
      </c>
      <c r="F10" s="20">
        <f t="shared" si="0"/>
        <v>0.26666666666666666</v>
      </c>
      <c r="G10" s="4">
        <v>3.9</v>
      </c>
      <c r="H10" s="4">
        <v>13</v>
      </c>
      <c r="I10" s="4">
        <v>22.1</v>
      </c>
      <c r="J10" s="4">
        <v>279128</v>
      </c>
      <c r="K10" s="4">
        <v>48103854.43</v>
      </c>
      <c r="L10" s="20">
        <f t="shared" si="1"/>
        <v>5.80261193842965E-3</v>
      </c>
      <c r="M10" s="4" t="str">
        <f t="shared" si="2"/>
        <v>Alert</v>
      </c>
    </row>
    <row r="11" spans="1:13" ht="14.4" x14ac:dyDescent="0.3">
      <c r="A11" s="7" t="s">
        <v>69</v>
      </c>
      <c r="B11" s="7" t="s">
        <v>103</v>
      </c>
      <c r="C11" s="7">
        <v>23</v>
      </c>
      <c r="D11" s="7">
        <v>7</v>
      </c>
      <c r="E11" s="7">
        <v>16</v>
      </c>
      <c r="F11" s="22">
        <f t="shared" si="0"/>
        <v>0.30434782608695654</v>
      </c>
      <c r="G11" s="7">
        <v>3.3</v>
      </c>
      <c r="H11" s="7">
        <v>8</v>
      </c>
      <c r="I11" s="7">
        <v>23.4</v>
      </c>
      <c r="J11" s="7">
        <v>93746</v>
      </c>
      <c r="K11" s="7">
        <v>13367613.130000001</v>
      </c>
      <c r="L11" s="22">
        <f t="shared" si="1"/>
        <v>7.0129198899100695E-3</v>
      </c>
      <c r="M11" s="7" t="str">
        <f t="shared" si="2"/>
        <v>Alert</v>
      </c>
    </row>
    <row r="12" spans="1:13" ht="14.4" x14ac:dyDescent="0.3">
      <c r="A12" s="25" t="s">
        <v>137</v>
      </c>
      <c r="B12" s="25" t="s">
        <v>607</v>
      </c>
      <c r="C12" s="25">
        <v>40</v>
      </c>
      <c r="D12" s="25">
        <v>9</v>
      </c>
      <c r="E12" s="25">
        <v>31</v>
      </c>
      <c r="F12" s="26">
        <f t="shared" si="0"/>
        <v>0.22500000000000001</v>
      </c>
      <c r="G12" s="25">
        <v>4</v>
      </c>
      <c r="H12" s="25">
        <v>12</v>
      </c>
      <c r="I12" s="25">
        <v>20.8</v>
      </c>
      <c r="J12" s="25">
        <v>188845</v>
      </c>
      <c r="K12" s="25">
        <v>35232214.270000003</v>
      </c>
      <c r="L12" s="26">
        <f t="shared" si="1"/>
        <v>5.3600094093660261E-3</v>
      </c>
      <c r="M12" s="25" t="str">
        <f t="shared" si="2"/>
        <v>Alert</v>
      </c>
    </row>
    <row r="13" spans="1:13" ht="14.4" x14ac:dyDescent="0.3">
      <c r="A13" s="7" t="s">
        <v>137</v>
      </c>
      <c r="B13" s="7" t="s">
        <v>138</v>
      </c>
      <c r="C13" s="7">
        <v>40</v>
      </c>
      <c r="D13" s="7">
        <v>9</v>
      </c>
      <c r="E13" s="7">
        <v>31</v>
      </c>
      <c r="F13" s="22">
        <f t="shared" si="0"/>
        <v>0.22500000000000001</v>
      </c>
      <c r="G13" s="7">
        <v>4</v>
      </c>
      <c r="H13" s="7">
        <v>12</v>
      </c>
      <c r="I13" s="7">
        <v>20.8</v>
      </c>
      <c r="J13" s="7">
        <v>188845</v>
      </c>
      <c r="K13" s="7">
        <v>35232214.270000003</v>
      </c>
      <c r="L13" s="22">
        <f t="shared" si="1"/>
        <v>5.3600094093660261E-3</v>
      </c>
      <c r="M13" s="7" t="str">
        <f t="shared" si="2"/>
        <v>Alert</v>
      </c>
    </row>
    <row r="14" spans="1:13" ht="14.4" x14ac:dyDescent="0.3">
      <c r="A14" s="25" t="s">
        <v>47</v>
      </c>
      <c r="B14" s="25" t="s">
        <v>607</v>
      </c>
      <c r="C14" s="25">
        <v>23</v>
      </c>
      <c r="D14" s="25">
        <v>5</v>
      </c>
      <c r="E14" s="25">
        <v>18</v>
      </c>
      <c r="F14" s="26">
        <f t="shared" si="0"/>
        <v>0.21739130434782608</v>
      </c>
      <c r="G14" s="25">
        <v>3.1</v>
      </c>
      <c r="H14" s="25">
        <v>9</v>
      </c>
      <c r="I14" s="25">
        <v>18.899999999999999</v>
      </c>
      <c r="J14" s="25">
        <v>113248</v>
      </c>
      <c r="K14" s="25">
        <v>50631738.280000001</v>
      </c>
      <c r="L14" s="26">
        <f t="shared" si="1"/>
        <v>2.2366998220310756E-3</v>
      </c>
      <c r="M14" s="25" t="str">
        <f t="shared" si="2"/>
        <v>Alert</v>
      </c>
    </row>
    <row r="15" spans="1:13" ht="14.4" x14ac:dyDescent="0.3">
      <c r="A15" s="7" t="s">
        <v>47</v>
      </c>
      <c r="B15" s="7" t="s">
        <v>48</v>
      </c>
      <c r="C15" s="7">
        <v>23</v>
      </c>
      <c r="D15" s="7">
        <v>5</v>
      </c>
      <c r="E15" s="7">
        <v>18</v>
      </c>
      <c r="F15" s="22">
        <f t="shared" si="0"/>
        <v>0.21739130434782608</v>
      </c>
      <c r="G15" s="7">
        <v>3.1</v>
      </c>
      <c r="H15" s="7">
        <v>9</v>
      </c>
      <c r="I15" s="7">
        <v>18.899999999999999</v>
      </c>
      <c r="J15" s="7">
        <v>113248</v>
      </c>
      <c r="K15" s="7">
        <v>50631738.280000001</v>
      </c>
      <c r="L15" s="22">
        <f t="shared" si="1"/>
        <v>2.2366998220310756E-3</v>
      </c>
      <c r="M15" s="7" t="str">
        <f t="shared" si="2"/>
        <v>Alert</v>
      </c>
    </row>
    <row r="16" spans="1:13" ht="14.4" x14ac:dyDescent="0.3">
      <c r="A16" s="25" t="s">
        <v>214</v>
      </c>
      <c r="B16" s="25" t="s">
        <v>607</v>
      </c>
      <c r="C16" s="25">
        <v>11</v>
      </c>
      <c r="D16" s="25">
        <v>1</v>
      </c>
      <c r="E16" s="25">
        <v>10</v>
      </c>
      <c r="F16" s="26">
        <f t="shared" si="0"/>
        <v>9.0909090909090912E-2</v>
      </c>
      <c r="G16" s="25">
        <v>5.5</v>
      </c>
      <c r="H16" s="25">
        <v>12</v>
      </c>
      <c r="I16" s="25">
        <v>22.9</v>
      </c>
      <c r="J16" s="25">
        <v>53694</v>
      </c>
      <c r="K16" s="25">
        <v>15381810.720000001</v>
      </c>
      <c r="L16" s="26">
        <f t="shared" si="1"/>
        <v>3.4907463742344111E-3</v>
      </c>
      <c r="M16" s="25" t="str">
        <f t="shared" si="2"/>
        <v>Alert</v>
      </c>
    </row>
    <row r="17" spans="1:14" ht="14.4" x14ac:dyDescent="0.3">
      <c r="A17" s="7" t="s">
        <v>214</v>
      </c>
      <c r="B17" s="7" t="s">
        <v>138</v>
      </c>
      <c r="C17" s="7">
        <v>11</v>
      </c>
      <c r="D17" s="7">
        <v>1</v>
      </c>
      <c r="E17" s="7">
        <v>10</v>
      </c>
      <c r="F17" s="22">
        <f t="shared" si="0"/>
        <v>9.0909090909090912E-2</v>
      </c>
      <c r="G17" s="7">
        <v>5.5</v>
      </c>
      <c r="H17" s="7">
        <v>12</v>
      </c>
      <c r="I17" s="7">
        <v>22.9</v>
      </c>
      <c r="J17" s="7">
        <v>53694</v>
      </c>
      <c r="K17" s="7">
        <v>15381810.720000001</v>
      </c>
      <c r="L17" s="22">
        <f t="shared" si="1"/>
        <v>3.4907463742344111E-3</v>
      </c>
      <c r="M17" s="7" t="str">
        <f t="shared" si="2"/>
        <v>Alert</v>
      </c>
    </row>
    <row r="20" spans="1:14" ht="14.4" x14ac:dyDescent="0.3">
      <c r="L20" s="18" t="s">
        <v>527</v>
      </c>
      <c r="M20" s="101" t="s">
        <v>608</v>
      </c>
      <c r="N20" s="18" t="s">
        <v>609</v>
      </c>
    </row>
    <row r="21" spans="1:14" ht="15.75" customHeight="1" x14ac:dyDescent="0.3">
      <c r="L21" s="18" t="s">
        <v>537</v>
      </c>
      <c r="M21" s="104">
        <f>'Cost Analysis'!F4</f>
        <v>19305036.920000002</v>
      </c>
      <c r="N21" s="70">
        <v>76369</v>
      </c>
    </row>
    <row r="22" spans="1:14" ht="15.75" customHeight="1" x14ac:dyDescent="0.3">
      <c r="L22" s="18" t="s">
        <v>538</v>
      </c>
      <c r="M22" s="104">
        <f>'Cost Analysis'!F5</f>
        <v>11445542.439999999</v>
      </c>
      <c r="N22" s="70">
        <v>36958</v>
      </c>
    </row>
    <row r="23" spans="1:14" ht="15.75" customHeight="1" x14ac:dyDescent="0.3">
      <c r="L23" s="18" t="s">
        <v>539</v>
      </c>
      <c r="M23" s="104">
        <f>'Cost Analysis'!F6</f>
        <v>13277762.15</v>
      </c>
      <c r="N23" s="70">
        <v>88432</v>
      </c>
    </row>
    <row r="24" spans="1:14" ht="15.75" customHeight="1" x14ac:dyDescent="0.3">
      <c r="L24" s="18" t="s">
        <v>540</v>
      </c>
      <c r="M24" s="104">
        <f>'Cost Analysis'!F7</f>
        <v>14315175.35</v>
      </c>
      <c r="N24" s="70">
        <v>65330</v>
      </c>
    </row>
    <row r="25" spans="1:14" ht="15.75" customHeight="1" x14ac:dyDescent="0.3">
      <c r="L25" s="18" t="s">
        <v>541</v>
      </c>
      <c r="M25" s="104">
        <f>'Cost Analysis'!F8</f>
        <v>3598995.65</v>
      </c>
      <c r="N25" s="70">
        <v>41756</v>
      </c>
    </row>
    <row r="26" spans="1:14" ht="15.75" customHeight="1" x14ac:dyDescent="0.3">
      <c r="L26" s="18" t="s">
        <v>542</v>
      </c>
      <c r="M26" s="104">
        <f>'Cost Analysis'!F9</f>
        <v>20628042.09</v>
      </c>
      <c r="N26" s="70">
        <v>58475</v>
      </c>
    </row>
    <row r="27" spans="1:14" ht="15.75" customHeight="1" x14ac:dyDescent="0.3">
      <c r="L27" s="18" t="s">
        <v>543</v>
      </c>
      <c r="M27" s="104">
        <f>'Cost Analysis'!F10</f>
        <v>22295628.530000001</v>
      </c>
      <c r="N27" s="70">
        <v>85960</v>
      </c>
    </row>
    <row r="28" spans="1:14" ht="15.75" customHeight="1" x14ac:dyDescent="0.3">
      <c r="L28" s="18" t="s">
        <v>544</v>
      </c>
      <c r="M28" s="104">
        <f>'Cost Analysis'!F11</f>
        <v>20407153.780000001</v>
      </c>
      <c r="N28" s="70">
        <v>61132</v>
      </c>
    </row>
    <row r="29" spans="1:14" ht="15.75" customHeight="1" x14ac:dyDescent="0.3">
      <c r="L29" s="18" t="s">
        <v>545</v>
      </c>
      <c r="M29" s="104">
        <f>'Cost Analysis'!F12</f>
        <v>42227560.549999997</v>
      </c>
      <c r="N29" s="70">
        <v>95673</v>
      </c>
    </row>
    <row r="30" spans="1:14" ht="15.75" customHeight="1" x14ac:dyDescent="0.3">
      <c r="L30" s="18" t="s">
        <v>546</v>
      </c>
      <c r="M30" s="104">
        <f>'Cost Analysis'!F13</f>
        <v>11355771.32</v>
      </c>
      <c r="N30" s="70">
        <v>59687</v>
      </c>
    </row>
    <row r="31" spans="1:14" ht="15.75" customHeight="1" x14ac:dyDescent="0.3">
      <c r="L31" s="18" t="s">
        <v>547</v>
      </c>
      <c r="M31" s="104">
        <f>'Cost Analysis'!F14</f>
        <v>14788407.050000001</v>
      </c>
      <c r="N31" s="70">
        <v>74001</v>
      </c>
    </row>
    <row r="32" spans="1:14" ht="15.75" customHeight="1" x14ac:dyDescent="0.3">
      <c r="L32" s="18" t="s">
        <v>548</v>
      </c>
      <c r="M32" s="104">
        <f>'Cost Analysis'!F15</f>
        <v>4361846</v>
      </c>
      <c r="N32" s="70">
        <v>36698</v>
      </c>
    </row>
    <row r="33" spans="12:14" ht="15.75" customHeight="1" x14ac:dyDescent="0.3">
      <c r="L33" s="18" t="s">
        <v>549</v>
      </c>
      <c r="M33" s="104">
        <f>'Cost Analysis'!F16</f>
        <v>7458522.0700000003</v>
      </c>
      <c r="N33" s="70">
        <v>37464</v>
      </c>
    </row>
    <row r="34" spans="12:14" ht="15.75" customHeight="1" x14ac:dyDescent="0.3">
      <c r="L34" s="18" t="s">
        <v>550</v>
      </c>
      <c r="M34" s="104">
        <f>'Cost Analysis'!F17</f>
        <v>8282226.6600000001</v>
      </c>
      <c r="N34" s="70">
        <v>69970</v>
      </c>
    </row>
    <row r="35" spans="12:14" ht="15.75" customHeight="1" x14ac:dyDescent="0.3">
      <c r="L35" s="18" t="s">
        <v>551</v>
      </c>
      <c r="M35" s="104">
        <f>'Cost Analysis'!F18</f>
        <v>11910437.83</v>
      </c>
      <c r="N35" s="70">
        <v>55270</v>
      </c>
    </row>
    <row r="36" spans="12:14" ht="15.75" customHeight="1" x14ac:dyDescent="0.3">
      <c r="L36" s="18" t="s">
        <v>552</v>
      </c>
      <c r="M36" s="104">
        <f>'Cost Analysis'!F19</f>
        <v>10554168.609999999</v>
      </c>
      <c r="N36" s="70">
        <v>60345</v>
      </c>
    </row>
    <row r="37" spans="12:14" ht="15.75" customHeight="1" x14ac:dyDescent="0.3">
      <c r="L37" s="18" t="s">
        <v>553</v>
      </c>
      <c r="M37" s="104">
        <f>'Cost Analysis'!F20</f>
        <v>10269457.76</v>
      </c>
      <c r="N37" s="70">
        <v>43147</v>
      </c>
    </row>
    <row r="38" spans="12:14" ht="15.75" customHeight="1" x14ac:dyDescent="0.3">
      <c r="L38" s="18" t="s">
        <v>554</v>
      </c>
      <c r="M38" s="104">
        <f>'Cost Analysis'!F21</f>
        <v>19307240.010000002</v>
      </c>
      <c r="N38" s="70">
        <v>86502</v>
      </c>
    </row>
    <row r="39" spans="12:14" ht="15.75" customHeight="1" x14ac:dyDescent="0.3">
      <c r="L39" s="18" t="s">
        <v>555</v>
      </c>
      <c r="M39" s="104">
        <f>'Cost Analysis'!F22</f>
        <v>11754111.58</v>
      </c>
      <c r="N39" s="70">
        <v>37726</v>
      </c>
    </row>
    <row r="40" spans="12:14" ht="15.75" customHeight="1" x14ac:dyDescent="0.3">
      <c r="L40" s="18" t="s">
        <v>556</v>
      </c>
      <c r="M40" s="104">
        <f>'Cost Analysis'!F23</f>
        <v>3571284.39</v>
      </c>
      <c r="N40" s="70">
        <v>37463</v>
      </c>
    </row>
    <row r="41" spans="12:14" ht="15.75" customHeight="1" x14ac:dyDescent="0.3">
      <c r="L41" s="18" t="s">
        <v>557</v>
      </c>
      <c r="M41" s="104">
        <f>'Cost Analysis'!F24</f>
        <v>21461616.73</v>
      </c>
      <c r="N41" s="70">
        <v>44683</v>
      </c>
    </row>
    <row r="42" spans="12:14" ht="15.75" customHeight="1" x14ac:dyDescent="0.3">
      <c r="L42" s="18" t="s">
        <v>558</v>
      </c>
      <c r="M42" s="104">
        <f>'Cost Analysis'!F25</f>
        <v>25808437.600000001</v>
      </c>
      <c r="N42" s="70">
        <v>66595</v>
      </c>
    </row>
    <row r="43" spans="12:14" ht="15.75" customHeight="1" x14ac:dyDescent="0.3">
      <c r="L43" s="18" t="s">
        <v>559</v>
      </c>
      <c r="M43" s="104">
        <f>'Cost Analysis'!F26</f>
        <v>11778331.609999999</v>
      </c>
      <c r="N43" s="70">
        <v>62151</v>
      </c>
    </row>
    <row r="44" spans="12:14" ht="15.75" customHeight="1" x14ac:dyDescent="0.3">
      <c r="L44" s="18" t="s">
        <v>560</v>
      </c>
      <c r="M44" s="104">
        <f>'Cost Analysis'!F27</f>
        <v>9322542.6500000004</v>
      </c>
      <c r="N44" s="70">
        <v>41680</v>
      </c>
    </row>
    <row r="45" spans="12:14" ht="15.75" customHeight="1" x14ac:dyDescent="0.3">
      <c r="M45" s="100"/>
    </row>
    <row r="46" spans="12:14" ht="15.75" customHeight="1" x14ac:dyDescent="0.3"/>
    <row r="47" spans="12:14" ht="15.75" customHeight="1" x14ac:dyDescent="0.3">
      <c r="L47" s="18" t="s">
        <v>527</v>
      </c>
      <c r="M47" s="101" t="s">
        <v>598</v>
      </c>
      <c r="N47" s="18" t="s">
        <v>599</v>
      </c>
    </row>
    <row r="48" spans="12:14" ht="15.75" customHeight="1" x14ac:dyDescent="0.3">
      <c r="L48" s="18" t="s">
        <v>610</v>
      </c>
      <c r="M48" s="101">
        <v>6</v>
      </c>
      <c r="N48" s="18">
        <v>10</v>
      </c>
    </row>
    <row r="49" spans="12:14" ht="15.75" customHeight="1" x14ac:dyDescent="0.3">
      <c r="L49" s="18" t="s">
        <v>611</v>
      </c>
      <c r="M49" s="101">
        <v>3</v>
      </c>
      <c r="N49" s="18">
        <v>5</v>
      </c>
    </row>
    <row r="50" spans="12:14" ht="15.75" customHeight="1" x14ac:dyDescent="0.3">
      <c r="L50" s="18" t="s">
        <v>612</v>
      </c>
      <c r="M50" s="101">
        <v>5</v>
      </c>
      <c r="N50" s="18">
        <v>12</v>
      </c>
    </row>
    <row r="51" spans="12:14" ht="15.75" customHeight="1" x14ac:dyDescent="0.3">
      <c r="L51" s="18" t="s">
        <v>613</v>
      </c>
      <c r="M51" s="101">
        <v>0</v>
      </c>
      <c r="N51" s="18">
        <v>12</v>
      </c>
    </row>
    <row r="52" spans="12:14" ht="15.75" customHeight="1" x14ac:dyDescent="0.3">
      <c r="L52" s="18" t="s">
        <v>614</v>
      </c>
      <c r="M52" s="101">
        <v>0</v>
      </c>
      <c r="N52" s="18">
        <v>9</v>
      </c>
    </row>
    <row r="53" spans="12:14" ht="15.75" customHeight="1" x14ac:dyDescent="0.3">
      <c r="L53" s="18" t="s">
        <v>615</v>
      </c>
      <c r="M53" s="101">
        <v>0</v>
      </c>
      <c r="N53" s="18">
        <v>13</v>
      </c>
    </row>
    <row r="54" spans="12:14" ht="15.75" customHeight="1" x14ac:dyDescent="0.3">
      <c r="L54" s="18" t="s">
        <v>616</v>
      </c>
      <c r="M54" s="101">
        <v>4</v>
      </c>
      <c r="N54" s="18">
        <v>15</v>
      </c>
    </row>
    <row r="55" spans="12:14" ht="15.75" customHeight="1" x14ac:dyDescent="0.3">
      <c r="L55" s="18" t="s">
        <v>617</v>
      </c>
      <c r="M55" s="101">
        <v>1</v>
      </c>
      <c r="N55" s="18">
        <v>11</v>
      </c>
    </row>
    <row r="56" spans="12:14" ht="15.75" customHeight="1" x14ac:dyDescent="0.3">
      <c r="L56" s="18" t="s">
        <v>618</v>
      </c>
      <c r="M56" s="101">
        <v>6</v>
      </c>
      <c r="N56" s="18">
        <v>13</v>
      </c>
    </row>
    <row r="57" spans="12:14" ht="15.75" customHeight="1" x14ac:dyDescent="0.3">
      <c r="L57" s="18" t="s">
        <v>619</v>
      </c>
      <c r="M57" s="101">
        <v>2</v>
      </c>
      <c r="N57" s="18">
        <v>13</v>
      </c>
    </row>
    <row r="58" spans="12:14" ht="15.75" customHeight="1" x14ac:dyDescent="0.3">
      <c r="L58" s="18" t="s">
        <v>620</v>
      </c>
      <c r="M58" s="101">
        <v>6</v>
      </c>
      <c r="N58" s="18">
        <v>10</v>
      </c>
    </row>
    <row r="59" spans="12:14" ht="15.75" customHeight="1" x14ac:dyDescent="0.3">
      <c r="L59" s="18" t="s">
        <v>621</v>
      </c>
      <c r="M59" s="101">
        <v>2</v>
      </c>
      <c r="N59" s="18">
        <v>9</v>
      </c>
    </row>
    <row r="60" spans="12:14" ht="15.75" customHeight="1" x14ac:dyDescent="0.3">
      <c r="L60" s="18" t="s">
        <v>622</v>
      </c>
      <c r="M60" s="101">
        <v>3</v>
      </c>
      <c r="N60" s="18">
        <v>6</v>
      </c>
    </row>
    <row r="61" spans="12:14" ht="15.75" customHeight="1" x14ac:dyDescent="0.3">
      <c r="L61" s="18" t="s">
        <v>623</v>
      </c>
      <c r="M61" s="101">
        <v>6</v>
      </c>
      <c r="N61" s="18">
        <v>11</v>
      </c>
    </row>
    <row r="62" spans="12:14" ht="15.75" customHeight="1" x14ac:dyDescent="0.3">
      <c r="L62" s="18" t="s">
        <v>624</v>
      </c>
      <c r="M62" s="101">
        <v>4</v>
      </c>
      <c r="N62" s="18">
        <v>10</v>
      </c>
    </row>
    <row r="63" spans="12:14" ht="15.75" customHeight="1" x14ac:dyDescent="0.3">
      <c r="L63" s="18" t="s">
        <v>625</v>
      </c>
      <c r="M63" s="101">
        <v>0</v>
      </c>
      <c r="N63" s="18">
        <v>14</v>
      </c>
    </row>
    <row r="64" spans="12:14" ht="15.75" customHeight="1" x14ac:dyDescent="0.3">
      <c r="L64" s="18" t="s">
        <v>626</v>
      </c>
      <c r="M64" s="101">
        <v>1</v>
      </c>
      <c r="N64" s="18">
        <v>10</v>
      </c>
    </row>
    <row r="65" spans="12:14" ht="15.75" customHeight="1" x14ac:dyDescent="0.3">
      <c r="L65" s="18" t="s">
        <v>627</v>
      </c>
      <c r="M65" s="101">
        <v>1</v>
      </c>
      <c r="N65" s="18">
        <v>15</v>
      </c>
    </row>
    <row r="66" spans="12:14" ht="15.75" customHeight="1" x14ac:dyDescent="0.3">
      <c r="L66" s="18" t="s">
        <v>628</v>
      </c>
      <c r="M66" s="101">
        <v>1</v>
      </c>
      <c r="N66" s="18">
        <v>9</v>
      </c>
    </row>
    <row r="67" spans="12:14" ht="15.75" customHeight="1" x14ac:dyDescent="0.3">
      <c r="L67" s="18" t="s">
        <v>629</v>
      </c>
      <c r="M67" s="101">
        <v>4</v>
      </c>
      <c r="N67" s="18">
        <v>7</v>
      </c>
    </row>
    <row r="68" spans="12:14" ht="15.75" customHeight="1" x14ac:dyDescent="0.3">
      <c r="L68" s="18" t="s">
        <v>630</v>
      </c>
      <c r="M68" s="101">
        <v>2</v>
      </c>
      <c r="N68" s="18">
        <v>8</v>
      </c>
    </row>
    <row r="69" spans="12:14" ht="15.75" customHeight="1" x14ac:dyDescent="0.3">
      <c r="L69" s="18" t="s">
        <v>631</v>
      </c>
      <c r="M69" s="101">
        <v>4</v>
      </c>
      <c r="N69" s="18">
        <v>11</v>
      </c>
    </row>
    <row r="70" spans="12:14" ht="15.75" customHeight="1" x14ac:dyDescent="0.3">
      <c r="L70" s="18" t="s">
        <v>632</v>
      </c>
      <c r="M70" s="101">
        <v>6</v>
      </c>
      <c r="N70" s="18">
        <v>8</v>
      </c>
    </row>
    <row r="71" spans="12:14" ht="15.75" customHeight="1" x14ac:dyDescent="0.3">
      <c r="L71" s="18" t="s">
        <v>633</v>
      </c>
      <c r="M71" s="101">
        <v>5</v>
      </c>
      <c r="N71" s="18">
        <v>7</v>
      </c>
    </row>
    <row r="72" spans="12:14" ht="15.75" customHeight="1" x14ac:dyDescent="0.3">
      <c r="M72" s="100"/>
    </row>
    <row r="73" spans="12:14" ht="15.75" customHeight="1" x14ac:dyDescent="0.3">
      <c r="M73" s="100"/>
    </row>
    <row r="74" spans="12:14" ht="15.75" customHeight="1" x14ac:dyDescent="0.3"/>
    <row r="75" spans="12:14" ht="15.75" customHeight="1" x14ac:dyDescent="0.3"/>
    <row r="76" spans="12:14" ht="15.75" customHeight="1" x14ac:dyDescent="0.3"/>
    <row r="77" spans="12:14" ht="15.75" customHeight="1" x14ac:dyDescent="0.3"/>
    <row r="78" spans="12:14" ht="15.75" customHeight="1" x14ac:dyDescent="0.3"/>
    <row r="79" spans="12:14" ht="15.75" customHeight="1" x14ac:dyDescent="0.3"/>
    <row r="80" spans="12:14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M1"/>
  </mergeCells>
  <pageMargins left="0.75" right="0.75" top="1" bottom="1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J1000"/>
  <sheetViews>
    <sheetView showGridLines="0" zoomScale="70" zoomScaleNormal="70" workbookViewId="0">
      <selection activeCell="O27" sqref="O27"/>
    </sheetView>
  </sheetViews>
  <sheetFormatPr defaultColWidth="14.44140625" defaultRowHeight="15" customHeight="1" x14ac:dyDescent="0.3"/>
  <cols>
    <col min="1" max="1" width="14.5546875" customWidth="1"/>
    <col min="2" max="2" width="24" customWidth="1"/>
    <col min="3" max="4" width="22" customWidth="1"/>
    <col min="5" max="5" width="26" customWidth="1"/>
    <col min="6" max="6" width="18" customWidth="1"/>
    <col min="7" max="7" width="20" customWidth="1"/>
    <col min="8" max="8" width="26" customWidth="1"/>
    <col min="9" max="9" width="24" customWidth="1"/>
    <col min="10" max="10" width="13" hidden="1" customWidth="1"/>
    <col min="11" max="26" width="8.6640625" customWidth="1"/>
  </cols>
  <sheetData>
    <row r="1" spans="1:10" ht="30" customHeight="1" x14ac:dyDescent="0.3">
      <c r="A1" s="50" t="s">
        <v>634</v>
      </c>
      <c r="B1" s="36"/>
      <c r="C1" s="36"/>
      <c r="D1" s="36"/>
      <c r="E1" s="36"/>
      <c r="F1" s="36"/>
      <c r="G1" s="36"/>
      <c r="H1" s="36"/>
      <c r="I1" s="37"/>
    </row>
    <row r="3" spans="1:10" ht="24.75" customHeight="1" x14ac:dyDescent="0.3">
      <c r="A3" s="3" t="s">
        <v>527</v>
      </c>
      <c r="B3" s="3" t="s">
        <v>635</v>
      </c>
      <c r="C3" s="3" t="s">
        <v>603</v>
      </c>
      <c r="D3" s="3" t="s">
        <v>636</v>
      </c>
      <c r="E3" s="3" t="s">
        <v>637</v>
      </c>
      <c r="F3" s="3" t="s">
        <v>604</v>
      </c>
      <c r="G3" s="3" t="s">
        <v>638</v>
      </c>
      <c r="H3" s="3" t="s">
        <v>639</v>
      </c>
      <c r="I3" s="3" t="s">
        <v>640</v>
      </c>
    </row>
    <row r="4" spans="1:10" ht="14.4" x14ac:dyDescent="0.3">
      <c r="A4" s="4" t="s">
        <v>610</v>
      </c>
      <c r="B4" s="5">
        <v>261674278.11000001</v>
      </c>
      <c r="C4" s="5">
        <v>76369</v>
      </c>
      <c r="D4" s="5">
        <v>5369895</v>
      </c>
      <c r="E4" s="5">
        <f t="shared" ref="E4:E27" si="0">C4+D4</f>
        <v>5446264</v>
      </c>
      <c r="F4" s="102">
        <v>19305036.920000002</v>
      </c>
      <c r="G4" s="5">
        <f t="shared" ref="G4:G27" si="1">F4-B4</f>
        <v>-242369241.19</v>
      </c>
      <c r="H4" s="20">
        <f t="shared" ref="H4:H27" si="2">IF(F4=0,0,E4/F4)</f>
        <v>0.28211621778136436</v>
      </c>
      <c r="I4" s="5">
        <f t="shared" ref="I4:I27" si="3">IF(J4=0,0,E4/J4)</f>
        <v>588.08595184105388</v>
      </c>
      <c r="J4" s="4">
        <v>9261</v>
      </c>
    </row>
    <row r="5" spans="1:10" ht="14.4" x14ac:dyDescent="0.3">
      <c r="A5" s="7" t="s">
        <v>611</v>
      </c>
      <c r="B5" s="8">
        <v>61438423.469999999</v>
      </c>
      <c r="C5" s="8">
        <v>36958</v>
      </c>
      <c r="D5" s="8">
        <v>1844430</v>
      </c>
      <c r="E5" s="8">
        <f t="shared" si="0"/>
        <v>1881388</v>
      </c>
      <c r="F5" s="103">
        <v>11445542.439999999</v>
      </c>
      <c r="G5" s="8">
        <f t="shared" si="1"/>
        <v>-49992881.030000001</v>
      </c>
      <c r="H5" s="22">
        <f t="shared" si="2"/>
        <v>0.16437735562666789</v>
      </c>
      <c r="I5" s="8">
        <f t="shared" si="3"/>
        <v>415.04257666004855</v>
      </c>
      <c r="J5" s="7">
        <v>4533</v>
      </c>
    </row>
    <row r="6" spans="1:10" ht="14.4" x14ac:dyDescent="0.3">
      <c r="A6" s="4" t="s">
        <v>612</v>
      </c>
      <c r="B6" s="5">
        <v>173500587.97999999</v>
      </c>
      <c r="C6" s="5">
        <v>88432</v>
      </c>
      <c r="D6" s="5">
        <v>7134960</v>
      </c>
      <c r="E6" s="5">
        <f t="shared" si="0"/>
        <v>7223392</v>
      </c>
      <c r="F6" s="102">
        <v>13277762.15</v>
      </c>
      <c r="G6" s="5">
        <f t="shared" si="1"/>
        <v>-160222825.82999998</v>
      </c>
      <c r="H6" s="20">
        <f t="shared" si="2"/>
        <v>0.54402179511853954</v>
      </c>
      <c r="I6" s="5">
        <f t="shared" si="3"/>
        <v>1260.8469191831034</v>
      </c>
      <c r="J6" s="4">
        <v>5729</v>
      </c>
    </row>
    <row r="7" spans="1:10" ht="14.4" x14ac:dyDescent="0.3">
      <c r="A7" s="7" t="s">
        <v>613</v>
      </c>
      <c r="B7" s="8">
        <v>114336676.55</v>
      </c>
      <c r="C7" s="8">
        <v>65330</v>
      </c>
      <c r="D7" s="8">
        <v>4774115.5</v>
      </c>
      <c r="E7" s="8">
        <f t="shared" si="0"/>
        <v>4839445.5</v>
      </c>
      <c r="F7" s="103">
        <v>14315175.35</v>
      </c>
      <c r="G7" s="8">
        <f t="shared" si="1"/>
        <v>-100021501.2</v>
      </c>
      <c r="H7" s="22">
        <f t="shared" si="2"/>
        <v>0.33806400422471949</v>
      </c>
      <c r="I7" s="8">
        <f t="shared" si="3"/>
        <v>903.05010263108784</v>
      </c>
      <c r="J7" s="7">
        <v>5359</v>
      </c>
    </row>
    <row r="8" spans="1:10" ht="14.4" x14ac:dyDescent="0.3">
      <c r="A8" s="4" t="s">
        <v>614</v>
      </c>
      <c r="B8" s="5">
        <v>31085350.399999999</v>
      </c>
      <c r="C8" s="5">
        <v>41756</v>
      </c>
      <c r="D8" s="5">
        <v>1725518</v>
      </c>
      <c r="E8" s="5">
        <f t="shared" si="0"/>
        <v>1767274</v>
      </c>
      <c r="F8" s="102">
        <v>3598995.65</v>
      </c>
      <c r="G8" s="5">
        <f t="shared" si="1"/>
        <v>-27486354.75</v>
      </c>
      <c r="H8" s="20">
        <f t="shared" si="2"/>
        <v>0.49104643958099814</v>
      </c>
      <c r="I8" s="5">
        <f t="shared" si="3"/>
        <v>420.9799904716532</v>
      </c>
      <c r="J8" s="4">
        <v>4198</v>
      </c>
    </row>
    <row r="9" spans="1:10" ht="14.4" x14ac:dyDescent="0.3">
      <c r="A9" s="7" t="s">
        <v>615</v>
      </c>
      <c r="B9" s="8">
        <v>159852274.47</v>
      </c>
      <c r="C9" s="8">
        <v>58475</v>
      </c>
      <c r="D9" s="8">
        <v>2713425</v>
      </c>
      <c r="E9" s="8">
        <f t="shared" si="0"/>
        <v>2771900</v>
      </c>
      <c r="F9" s="103">
        <v>20628042.09</v>
      </c>
      <c r="G9" s="8">
        <f t="shared" si="1"/>
        <v>-139224232.38</v>
      </c>
      <c r="H9" s="22">
        <f t="shared" si="2"/>
        <v>0.13437533178894148</v>
      </c>
      <c r="I9" s="8">
        <f t="shared" si="3"/>
        <v>335.86574578940991</v>
      </c>
      <c r="J9" s="7">
        <v>8253</v>
      </c>
    </row>
    <row r="10" spans="1:10" ht="14.4" x14ac:dyDescent="0.3">
      <c r="A10" s="4" t="s">
        <v>616</v>
      </c>
      <c r="B10" s="5">
        <v>303242457.44</v>
      </c>
      <c r="C10" s="5">
        <v>85960</v>
      </c>
      <c r="D10" s="5">
        <v>6655139.3700000001</v>
      </c>
      <c r="E10" s="5">
        <f t="shared" si="0"/>
        <v>6741099.3700000001</v>
      </c>
      <c r="F10" s="102">
        <v>22295628.530000001</v>
      </c>
      <c r="G10" s="5">
        <f t="shared" si="1"/>
        <v>-280946828.90999997</v>
      </c>
      <c r="H10" s="20">
        <f t="shared" si="2"/>
        <v>0.30235072139498009</v>
      </c>
      <c r="I10" s="5">
        <f t="shared" si="3"/>
        <v>874.44537164353358</v>
      </c>
      <c r="J10" s="4">
        <v>7709</v>
      </c>
    </row>
    <row r="11" spans="1:10" ht="14.4" x14ac:dyDescent="0.3">
      <c r="A11" s="7" t="s">
        <v>617</v>
      </c>
      <c r="B11" s="8">
        <v>178281341.09999999</v>
      </c>
      <c r="C11" s="8">
        <v>61132</v>
      </c>
      <c r="D11" s="8">
        <v>5035230</v>
      </c>
      <c r="E11" s="8">
        <f t="shared" si="0"/>
        <v>5096362</v>
      </c>
      <c r="F11" s="103">
        <v>20407153.780000001</v>
      </c>
      <c r="G11" s="8">
        <f t="shared" si="1"/>
        <v>-157874187.31999999</v>
      </c>
      <c r="H11" s="22">
        <f t="shared" si="2"/>
        <v>0.24973409104187186</v>
      </c>
      <c r="I11" s="8">
        <f t="shared" si="3"/>
        <v>917.10671225481371</v>
      </c>
      <c r="J11" s="7">
        <v>5557</v>
      </c>
    </row>
    <row r="12" spans="1:10" ht="14.4" x14ac:dyDescent="0.3">
      <c r="A12" s="4" t="s">
        <v>618</v>
      </c>
      <c r="B12" s="5">
        <v>580591899.92999995</v>
      </c>
      <c r="C12" s="5">
        <v>95673</v>
      </c>
      <c r="D12" s="5">
        <v>8219945.6799999997</v>
      </c>
      <c r="E12" s="5">
        <f t="shared" si="0"/>
        <v>8315618.6799999997</v>
      </c>
      <c r="F12" s="102">
        <v>42227560.549999997</v>
      </c>
      <c r="G12" s="5">
        <f t="shared" si="1"/>
        <v>-538364339.38</v>
      </c>
      <c r="H12" s="20">
        <f t="shared" si="2"/>
        <v>0.19692396557347427</v>
      </c>
      <c r="I12" s="5">
        <f t="shared" si="3"/>
        <v>774.33826985752864</v>
      </c>
      <c r="J12" s="4">
        <v>10739</v>
      </c>
    </row>
    <row r="13" spans="1:10" ht="14.4" x14ac:dyDescent="0.3">
      <c r="A13" s="7" t="s">
        <v>619</v>
      </c>
      <c r="B13" s="8">
        <v>126694808.31999999</v>
      </c>
      <c r="C13" s="8">
        <v>59687</v>
      </c>
      <c r="D13" s="8">
        <v>2583432</v>
      </c>
      <c r="E13" s="8">
        <f t="shared" si="0"/>
        <v>2643119</v>
      </c>
      <c r="F13" s="103">
        <v>11355771.32</v>
      </c>
      <c r="G13" s="8">
        <f t="shared" si="1"/>
        <v>-115339037</v>
      </c>
      <c r="H13" s="22">
        <f t="shared" si="2"/>
        <v>0.23275556767728217</v>
      </c>
      <c r="I13" s="8">
        <f t="shared" si="3"/>
        <v>290.83615757042253</v>
      </c>
      <c r="J13" s="7">
        <v>9088</v>
      </c>
    </row>
    <row r="14" spans="1:10" ht="14.4" x14ac:dyDescent="0.3">
      <c r="A14" s="4" t="s">
        <v>620</v>
      </c>
      <c r="B14" s="5">
        <v>107690311.68000001</v>
      </c>
      <c r="C14" s="5">
        <v>74001</v>
      </c>
      <c r="D14" s="5">
        <v>3674445.75</v>
      </c>
      <c r="E14" s="5">
        <f t="shared" si="0"/>
        <v>3748446.75</v>
      </c>
      <c r="F14" s="102">
        <v>14788407.050000001</v>
      </c>
      <c r="G14" s="5">
        <f t="shared" si="1"/>
        <v>-92901904.63000001</v>
      </c>
      <c r="H14" s="20">
        <f t="shared" si="2"/>
        <v>0.25347197553640505</v>
      </c>
      <c r="I14" s="5">
        <f t="shared" si="3"/>
        <v>496.35152939618644</v>
      </c>
      <c r="J14" s="4">
        <v>7552</v>
      </c>
    </row>
    <row r="15" spans="1:10" ht="14.4" x14ac:dyDescent="0.3">
      <c r="A15" s="7" t="s">
        <v>621</v>
      </c>
      <c r="B15" s="8">
        <v>42451521.659999996</v>
      </c>
      <c r="C15" s="8">
        <v>36698</v>
      </c>
      <c r="D15" s="8">
        <v>1616010</v>
      </c>
      <c r="E15" s="8">
        <f t="shared" si="0"/>
        <v>1652708</v>
      </c>
      <c r="F15" s="103">
        <v>4361846</v>
      </c>
      <c r="G15" s="8">
        <f t="shared" si="1"/>
        <v>-38089675.659999996</v>
      </c>
      <c r="H15" s="22">
        <f t="shared" si="2"/>
        <v>0.37890104327387991</v>
      </c>
      <c r="I15" s="8">
        <f t="shared" si="3"/>
        <v>244.51960349164077</v>
      </c>
      <c r="J15" s="7">
        <v>6759</v>
      </c>
    </row>
    <row r="16" spans="1:10" ht="14.4" x14ac:dyDescent="0.3">
      <c r="A16" s="4" t="s">
        <v>622</v>
      </c>
      <c r="B16" s="5">
        <v>52257721.600000001</v>
      </c>
      <c r="C16" s="5">
        <v>37464</v>
      </c>
      <c r="D16" s="5">
        <v>3075860</v>
      </c>
      <c r="E16" s="5">
        <f t="shared" si="0"/>
        <v>3113324</v>
      </c>
      <c r="F16" s="102">
        <v>7458522.0700000003</v>
      </c>
      <c r="G16" s="5">
        <f t="shared" si="1"/>
        <v>-44799199.530000001</v>
      </c>
      <c r="H16" s="20">
        <f t="shared" si="2"/>
        <v>0.41741835323147336</v>
      </c>
      <c r="I16" s="5">
        <f t="shared" si="3"/>
        <v>666.37928082191786</v>
      </c>
      <c r="J16" s="4">
        <v>4672</v>
      </c>
    </row>
    <row r="17" spans="1:10" ht="14.4" x14ac:dyDescent="0.3">
      <c r="A17" s="7" t="s">
        <v>623</v>
      </c>
      <c r="B17" s="8">
        <v>118642569.56999999</v>
      </c>
      <c r="C17" s="8">
        <v>69970</v>
      </c>
      <c r="D17" s="8">
        <v>3944149.41</v>
      </c>
      <c r="E17" s="8">
        <f t="shared" si="0"/>
        <v>4014119.41</v>
      </c>
      <c r="F17" s="103">
        <v>8282226.6600000001</v>
      </c>
      <c r="G17" s="8">
        <f t="shared" si="1"/>
        <v>-110360342.91</v>
      </c>
      <c r="H17" s="22">
        <f t="shared" si="2"/>
        <v>0.48466669348554148</v>
      </c>
      <c r="I17" s="8">
        <f t="shared" si="3"/>
        <v>486.38306191687872</v>
      </c>
      <c r="J17" s="7">
        <v>8253</v>
      </c>
    </row>
    <row r="18" spans="1:10" ht="14.4" x14ac:dyDescent="0.3">
      <c r="A18" s="4" t="s">
        <v>624</v>
      </c>
      <c r="B18" s="5">
        <v>120251663.76000001</v>
      </c>
      <c r="C18" s="5">
        <v>55270</v>
      </c>
      <c r="D18" s="5">
        <v>3095622</v>
      </c>
      <c r="E18" s="5">
        <f t="shared" si="0"/>
        <v>3150892</v>
      </c>
      <c r="F18" s="102">
        <v>11910437.83</v>
      </c>
      <c r="G18" s="5">
        <f t="shared" si="1"/>
        <v>-108341225.93000001</v>
      </c>
      <c r="H18" s="20">
        <f t="shared" si="2"/>
        <v>0.26454879702772438</v>
      </c>
      <c r="I18" s="5">
        <f t="shared" si="3"/>
        <v>359.19881440948473</v>
      </c>
      <c r="J18" s="4">
        <v>8772</v>
      </c>
    </row>
    <row r="19" spans="1:10" ht="14.4" x14ac:dyDescent="0.3">
      <c r="A19" s="7" t="s">
        <v>625</v>
      </c>
      <c r="B19" s="8">
        <v>116414202.23999999</v>
      </c>
      <c r="C19" s="8">
        <v>60345</v>
      </c>
      <c r="D19" s="8">
        <v>4412469.8600000003</v>
      </c>
      <c r="E19" s="8">
        <f t="shared" si="0"/>
        <v>4472814.8600000003</v>
      </c>
      <c r="F19" s="103">
        <v>10554168.609999999</v>
      </c>
      <c r="G19" s="8">
        <f t="shared" si="1"/>
        <v>-105860033.63</v>
      </c>
      <c r="H19" s="22">
        <f t="shared" si="2"/>
        <v>0.42379603977162544</v>
      </c>
      <c r="I19" s="8">
        <f t="shared" si="3"/>
        <v>566.46591438703149</v>
      </c>
      <c r="J19" s="7">
        <v>7896</v>
      </c>
    </row>
    <row r="20" spans="1:10" ht="14.4" x14ac:dyDescent="0.3">
      <c r="A20" s="4" t="s">
        <v>626</v>
      </c>
      <c r="B20" s="5">
        <v>92641556.390000001</v>
      </c>
      <c r="C20" s="5">
        <v>43147</v>
      </c>
      <c r="D20" s="5">
        <v>4408974.55</v>
      </c>
      <c r="E20" s="5">
        <f t="shared" si="0"/>
        <v>4452121.55</v>
      </c>
      <c r="F20" s="102">
        <v>10269457.76</v>
      </c>
      <c r="G20" s="5">
        <f t="shared" si="1"/>
        <v>-82372098.629999995</v>
      </c>
      <c r="H20" s="20">
        <f t="shared" si="2"/>
        <v>0.43353034347550595</v>
      </c>
      <c r="I20" s="5">
        <f t="shared" si="3"/>
        <v>1361.0888260470804</v>
      </c>
      <c r="J20" s="4">
        <v>3271</v>
      </c>
    </row>
    <row r="21" spans="1:10" ht="15.75" customHeight="1" x14ac:dyDescent="0.3">
      <c r="A21" s="7" t="s">
        <v>627</v>
      </c>
      <c r="B21" s="8">
        <v>237439027.68000001</v>
      </c>
      <c r="C21" s="8">
        <v>86502</v>
      </c>
      <c r="D21" s="8">
        <v>5627569.5</v>
      </c>
      <c r="E21" s="8">
        <f t="shared" si="0"/>
        <v>5714071.5</v>
      </c>
      <c r="F21" s="103">
        <v>19307240.010000002</v>
      </c>
      <c r="G21" s="8">
        <f t="shared" si="1"/>
        <v>-218131787.67000002</v>
      </c>
      <c r="H21" s="22">
        <f t="shared" si="2"/>
        <v>0.29595485926732412</v>
      </c>
      <c r="I21" s="8">
        <f t="shared" si="3"/>
        <v>724.03338824125694</v>
      </c>
      <c r="J21" s="7">
        <v>7892</v>
      </c>
    </row>
    <row r="22" spans="1:10" ht="15.75" customHeight="1" x14ac:dyDescent="0.3">
      <c r="A22" s="4" t="s">
        <v>628</v>
      </c>
      <c r="B22" s="5">
        <v>105313939.93000001</v>
      </c>
      <c r="C22" s="5">
        <v>37726</v>
      </c>
      <c r="D22" s="5">
        <v>3106224</v>
      </c>
      <c r="E22" s="5">
        <f t="shared" si="0"/>
        <v>3143950</v>
      </c>
      <c r="F22" s="102">
        <v>11754111.58</v>
      </c>
      <c r="G22" s="5">
        <f t="shared" si="1"/>
        <v>-93559828.350000009</v>
      </c>
      <c r="H22" s="20">
        <f t="shared" si="2"/>
        <v>0.26747661689289493</v>
      </c>
      <c r="I22" s="5">
        <f t="shared" si="3"/>
        <v>577.61344846591953</v>
      </c>
      <c r="J22" s="4">
        <v>5443</v>
      </c>
    </row>
    <row r="23" spans="1:10" ht="15.75" customHeight="1" x14ac:dyDescent="0.3">
      <c r="A23" s="7" t="s">
        <v>629</v>
      </c>
      <c r="B23" s="8">
        <v>38048472.539999999</v>
      </c>
      <c r="C23" s="8">
        <v>37463</v>
      </c>
      <c r="D23" s="8">
        <v>2109453.8199999998</v>
      </c>
      <c r="E23" s="8">
        <f t="shared" si="0"/>
        <v>2146916.8199999998</v>
      </c>
      <c r="F23" s="103">
        <v>3571284.39</v>
      </c>
      <c r="G23" s="8">
        <f t="shared" si="1"/>
        <v>-34477188.149999999</v>
      </c>
      <c r="H23" s="22">
        <f t="shared" si="2"/>
        <v>0.60116097894964893</v>
      </c>
      <c r="I23" s="8">
        <f t="shared" si="3"/>
        <v>475.19185922974765</v>
      </c>
      <c r="J23" s="7">
        <v>4518</v>
      </c>
    </row>
    <row r="24" spans="1:10" ht="15.75" customHeight="1" x14ac:dyDescent="0.3">
      <c r="A24" s="4" t="s">
        <v>630</v>
      </c>
      <c r="B24" s="5">
        <v>105348069</v>
      </c>
      <c r="C24" s="5">
        <v>44683</v>
      </c>
      <c r="D24" s="5">
        <v>4568521.5</v>
      </c>
      <c r="E24" s="5">
        <f t="shared" si="0"/>
        <v>4613204.5</v>
      </c>
      <c r="F24" s="102">
        <v>21461616.73</v>
      </c>
      <c r="G24" s="5">
        <f t="shared" si="1"/>
        <v>-83886452.269999996</v>
      </c>
      <c r="H24" s="20">
        <f t="shared" si="2"/>
        <v>0.21495139709355904</v>
      </c>
      <c r="I24" s="5">
        <f t="shared" si="3"/>
        <v>974.4834178284749</v>
      </c>
      <c r="J24" s="4">
        <v>4734</v>
      </c>
    </row>
    <row r="25" spans="1:10" ht="15.75" customHeight="1" x14ac:dyDescent="0.3">
      <c r="A25" s="7" t="s">
        <v>631</v>
      </c>
      <c r="B25" s="8">
        <v>297542399.75999999</v>
      </c>
      <c r="C25" s="8">
        <v>66595</v>
      </c>
      <c r="D25" s="8">
        <v>5036160</v>
      </c>
      <c r="E25" s="8">
        <f t="shared" si="0"/>
        <v>5102755</v>
      </c>
      <c r="F25" s="103">
        <v>25808437.600000001</v>
      </c>
      <c r="G25" s="8">
        <f t="shared" si="1"/>
        <v>-271733962.15999997</v>
      </c>
      <c r="H25" s="22">
        <f t="shared" si="2"/>
        <v>0.19771654057818672</v>
      </c>
      <c r="I25" s="8">
        <f t="shared" si="3"/>
        <v>638.48285785785788</v>
      </c>
      <c r="J25" s="7">
        <v>7992</v>
      </c>
    </row>
    <row r="26" spans="1:10" ht="15.75" customHeight="1" x14ac:dyDescent="0.3">
      <c r="A26" s="4" t="s">
        <v>632</v>
      </c>
      <c r="B26" s="5">
        <v>106339484.40000001</v>
      </c>
      <c r="C26" s="5">
        <v>62151</v>
      </c>
      <c r="D26" s="5">
        <v>2630988</v>
      </c>
      <c r="E26" s="5">
        <f t="shared" si="0"/>
        <v>2693139</v>
      </c>
      <c r="F26" s="102">
        <v>11778331.609999999</v>
      </c>
      <c r="G26" s="5">
        <f t="shared" si="1"/>
        <v>-94561152.790000007</v>
      </c>
      <c r="H26" s="20">
        <f t="shared" si="2"/>
        <v>0.22865199326817054</v>
      </c>
      <c r="I26" s="5">
        <f t="shared" si="3"/>
        <v>318.56387508871541</v>
      </c>
      <c r="J26" s="4">
        <v>8454</v>
      </c>
    </row>
    <row r="27" spans="1:10" ht="15.75" customHeight="1" x14ac:dyDescent="0.3">
      <c r="A27" s="7" t="s">
        <v>633</v>
      </c>
      <c r="B27" s="8">
        <v>89401470.840000004</v>
      </c>
      <c r="C27" s="8">
        <v>41680</v>
      </c>
      <c r="D27" s="8">
        <v>3176514</v>
      </c>
      <c r="E27" s="8">
        <f t="shared" si="0"/>
        <v>3218194</v>
      </c>
      <c r="F27" s="103">
        <v>9322542.6500000004</v>
      </c>
      <c r="G27" s="8">
        <f t="shared" si="1"/>
        <v>-80078928.189999998</v>
      </c>
      <c r="H27" s="22">
        <f t="shared" si="2"/>
        <v>0.34520560761392705</v>
      </c>
      <c r="I27" s="8">
        <f t="shared" si="3"/>
        <v>569.39030431705589</v>
      </c>
      <c r="J27" s="7">
        <v>5652</v>
      </c>
    </row>
    <row r="28" spans="1:10" ht="15.75" customHeight="1" x14ac:dyDescent="0.3">
      <c r="B28" s="66">
        <f>SUM(B4:B27)</f>
        <v>3620480508.8200002</v>
      </c>
      <c r="C28" s="66">
        <f t="shared" ref="C28:I28" si="4">SUM(C4:C27)</f>
        <v>1423467</v>
      </c>
      <c r="D28" s="66">
        <f t="shared" si="4"/>
        <v>96539052.939999998</v>
      </c>
      <c r="E28" s="66">
        <f t="shared" si="4"/>
        <v>97962519.939999998</v>
      </c>
      <c r="F28" s="66">
        <f t="shared" si="4"/>
        <v>349485299.32999998</v>
      </c>
      <c r="G28" s="66">
        <f t="shared" si="4"/>
        <v>-3270995209.4900002</v>
      </c>
      <c r="H28" s="66">
        <f t="shared" si="4"/>
        <v>7.7432167292747067</v>
      </c>
      <c r="I28" s="66">
        <f t="shared" si="4"/>
        <v>15238.743979401906</v>
      </c>
    </row>
    <row r="29" spans="1:10" ht="15.75" customHeight="1" x14ac:dyDescent="0.3"/>
    <row r="30" spans="1:10" ht="15.75" customHeight="1" x14ac:dyDescent="0.3"/>
    <row r="31" spans="1:10" ht="15.75" customHeight="1" x14ac:dyDescent="0.3">
      <c r="A31" s="18" t="s">
        <v>641</v>
      </c>
      <c r="B31" s="18" t="s">
        <v>642</v>
      </c>
    </row>
    <row r="32" spans="1:10" ht="15.75" customHeight="1" x14ac:dyDescent="0.3">
      <c r="A32" s="18" t="s">
        <v>643</v>
      </c>
      <c r="B32" s="18">
        <v>82479869873.639999</v>
      </c>
    </row>
    <row r="33" spans="1:2" ht="15.75" customHeight="1" x14ac:dyDescent="0.3">
      <c r="A33" s="18" t="s">
        <v>644</v>
      </c>
      <c r="B33" s="18">
        <v>1423467</v>
      </c>
    </row>
    <row r="34" spans="1:2" ht="15.75" customHeight="1" x14ac:dyDescent="0.3">
      <c r="A34" s="18" t="s">
        <v>645</v>
      </c>
      <c r="B34" s="18">
        <v>96539052.939999998</v>
      </c>
    </row>
    <row r="35" spans="1:2" ht="15.75" customHeight="1" x14ac:dyDescent="0.3"/>
    <row r="36" spans="1:2" ht="15.75" customHeight="1" x14ac:dyDescent="0.3"/>
    <row r="37" spans="1:2" ht="15.75" customHeight="1" x14ac:dyDescent="0.3"/>
    <row r="38" spans="1:2" ht="15.75" customHeight="1" x14ac:dyDescent="0.3"/>
    <row r="39" spans="1:2" ht="15.75" customHeight="1" x14ac:dyDescent="0.3"/>
    <row r="40" spans="1:2" ht="15.75" customHeight="1" x14ac:dyDescent="0.3"/>
    <row r="41" spans="1:2" ht="15.75" customHeight="1" x14ac:dyDescent="0.3"/>
    <row r="42" spans="1:2" ht="15.75" customHeight="1" x14ac:dyDescent="0.3"/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I1"/>
  </mergeCells>
  <pageMargins left="0.75" right="0.75" top="1" bottom="1" header="0" footer="0"/>
  <pageSetup orientation="landscape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J1000"/>
  <sheetViews>
    <sheetView showGridLines="0" zoomScale="70" zoomScaleNormal="70" workbookViewId="0">
      <selection activeCell="M30" sqref="M30"/>
    </sheetView>
  </sheetViews>
  <sheetFormatPr defaultColWidth="14.44140625" defaultRowHeight="15" customHeight="1" x14ac:dyDescent="0.3"/>
  <cols>
    <col min="1" max="1" width="14" customWidth="1"/>
    <col min="2" max="2" width="16" customWidth="1"/>
    <col min="3" max="3" width="18" customWidth="1"/>
    <col min="4" max="4" width="24" customWidth="1"/>
    <col min="5" max="5" width="22" customWidth="1"/>
    <col min="6" max="7" width="16" customWidth="1"/>
    <col min="8" max="8" width="24" customWidth="1"/>
    <col min="9" max="9" width="18" customWidth="1"/>
    <col min="10" max="10" width="22" customWidth="1"/>
    <col min="11" max="26" width="8.6640625" customWidth="1"/>
  </cols>
  <sheetData>
    <row r="1" spans="1:10" ht="30" customHeight="1" x14ac:dyDescent="0.3">
      <c r="A1" s="50" t="s">
        <v>646</v>
      </c>
      <c r="B1" s="36"/>
      <c r="C1" s="36"/>
      <c r="D1" s="36"/>
      <c r="E1" s="36"/>
      <c r="F1" s="36"/>
      <c r="G1" s="36"/>
      <c r="H1" s="36"/>
      <c r="I1" s="36"/>
      <c r="J1" s="37"/>
    </row>
    <row r="3" spans="1:10" ht="24.75" customHeight="1" x14ac:dyDescent="0.3">
      <c r="A3" s="3" t="s">
        <v>527</v>
      </c>
      <c r="B3" s="3" t="s">
        <v>647</v>
      </c>
      <c r="C3" s="3" t="s">
        <v>648</v>
      </c>
      <c r="D3" s="3" t="s">
        <v>649</v>
      </c>
      <c r="E3" s="3" t="s">
        <v>650</v>
      </c>
      <c r="F3" s="3" t="s">
        <v>651</v>
      </c>
      <c r="G3" s="3" t="s">
        <v>652</v>
      </c>
      <c r="H3" s="3" t="s">
        <v>653</v>
      </c>
      <c r="I3" s="3" t="s">
        <v>654</v>
      </c>
      <c r="J3" s="3" t="s">
        <v>655</v>
      </c>
    </row>
    <row r="4" spans="1:10" ht="14.4" x14ac:dyDescent="0.3">
      <c r="A4" s="4" t="s">
        <v>610</v>
      </c>
      <c r="B4" s="4">
        <v>50</v>
      </c>
      <c r="C4" s="4">
        <v>1845</v>
      </c>
      <c r="D4" s="4">
        <v>1.7</v>
      </c>
      <c r="E4" s="4">
        <v>1.6</v>
      </c>
      <c r="F4" s="4">
        <v>66</v>
      </c>
      <c r="G4" s="6">
        <v>5.3</v>
      </c>
      <c r="H4" s="4">
        <v>11</v>
      </c>
      <c r="I4" s="4">
        <v>1</v>
      </c>
      <c r="J4" s="4">
        <v>6.3</v>
      </c>
    </row>
    <row r="5" spans="1:10" ht="14.4" x14ac:dyDescent="0.3">
      <c r="A5" s="7" t="s">
        <v>611</v>
      </c>
      <c r="B5" s="7">
        <v>50</v>
      </c>
      <c r="C5" s="7">
        <v>1087</v>
      </c>
      <c r="D5" s="7">
        <v>1</v>
      </c>
      <c r="E5" s="7">
        <v>2.2000000000000002</v>
      </c>
      <c r="F5" s="7">
        <v>42</v>
      </c>
      <c r="G5" s="9">
        <v>5.7</v>
      </c>
      <c r="H5" s="7">
        <v>8</v>
      </c>
      <c r="I5" s="7">
        <v>3</v>
      </c>
      <c r="J5" s="7">
        <v>7.6</v>
      </c>
    </row>
    <row r="6" spans="1:10" ht="14.4" x14ac:dyDescent="0.3">
      <c r="A6" s="4" t="s">
        <v>612</v>
      </c>
      <c r="B6" s="4">
        <v>50</v>
      </c>
      <c r="C6" s="4">
        <v>882</v>
      </c>
      <c r="D6" s="4">
        <v>0.8</v>
      </c>
      <c r="E6" s="4">
        <v>1.8</v>
      </c>
      <c r="F6" s="4">
        <v>82</v>
      </c>
      <c r="G6" s="6">
        <v>3.5</v>
      </c>
      <c r="H6" s="4">
        <v>12</v>
      </c>
      <c r="I6" s="4">
        <v>2</v>
      </c>
      <c r="J6" s="4">
        <v>2.6</v>
      </c>
    </row>
    <row r="7" spans="1:10" ht="14.4" x14ac:dyDescent="0.3">
      <c r="A7" s="7" t="s">
        <v>613</v>
      </c>
      <c r="B7" s="7">
        <v>50</v>
      </c>
      <c r="C7" s="7">
        <v>2169</v>
      </c>
      <c r="D7" s="7">
        <v>2</v>
      </c>
      <c r="E7" s="7">
        <v>1.8</v>
      </c>
      <c r="F7" s="7">
        <v>66</v>
      </c>
      <c r="G7" s="9">
        <v>4.5</v>
      </c>
      <c r="H7" s="7">
        <v>18</v>
      </c>
      <c r="I7" s="7">
        <v>0</v>
      </c>
      <c r="J7" s="7">
        <v>1.3</v>
      </c>
    </row>
    <row r="8" spans="1:10" ht="14.4" x14ac:dyDescent="0.3">
      <c r="A8" s="4" t="s">
        <v>614</v>
      </c>
      <c r="B8" s="4">
        <v>50</v>
      </c>
      <c r="C8" s="4">
        <v>2128</v>
      </c>
      <c r="D8" s="4">
        <v>1.9</v>
      </c>
      <c r="E8" s="4">
        <v>2</v>
      </c>
      <c r="F8" s="4">
        <v>110</v>
      </c>
      <c r="G8" s="6">
        <v>8.3000000000000007</v>
      </c>
      <c r="H8" s="4">
        <v>12</v>
      </c>
      <c r="I8" s="4">
        <v>2</v>
      </c>
      <c r="J8" s="4">
        <v>5.0999999999999996</v>
      </c>
    </row>
    <row r="9" spans="1:10" ht="14.4" x14ac:dyDescent="0.3">
      <c r="A9" s="7" t="s">
        <v>615</v>
      </c>
      <c r="B9" s="7">
        <v>50</v>
      </c>
      <c r="C9" s="7">
        <v>1967</v>
      </c>
      <c r="D9" s="7">
        <v>1.8</v>
      </c>
      <c r="E9" s="7">
        <v>1.8</v>
      </c>
      <c r="F9" s="7">
        <v>103</v>
      </c>
      <c r="G9" s="9">
        <v>4.5</v>
      </c>
      <c r="H9" s="7">
        <v>6</v>
      </c>
      <c r="I9" s="7">
        <v>2</v>
      </c>
      <c r="J9" s="7">
        <v>3.6</v>
      </c>
    </row>
    <row r="10" spans="1:10" ht="14.4" x14ac:dyDescent="0.3">
      <c r="A10" s="4" t="s">
        <v>616</v>
      </c>
      <c r="B10" s="4">
        <v>50</v>
      </c>
      <c r="C10" s="4">
        <v>1256</v>
      </c>
      <c r="D10" s="4">
        <v>1.1000000000000001</v>
      </c>
      <c r="E10" s="4">
        <v>2.2999999999999998</v>
      </c>
      <c r="F10" s="4">
        <v>65</v>
      </c>
      <c r="G10" s="6">
        <v>7.3</v>
      </c>
      <c r="H10" s="4">
        <v>15</v>
      </c>
      <c r="I10" s="4">
        <v>3</v>
      </c>
      <c r="J10" s="4">
        <v>6.5</v>
      </c>
    </row>
    <row r="11" spans="1:10" ht="14.4" x14ac:dyDescent="0.3">
      <c r="A11" s="7" t="s">
        <v>617</v>
      </c>
      <c r="B11" s="7">
        <v>50</v>
      </c>
      <c r="C11" s="7">
        <v>2037</v>
      </c>
      <c r="D11" s="7">
        <v>1.9</v>
      </c>
      <c r="E11" s="7">
        <v>1.5</v>
      </c>
      <c r="F11" s="7">
        <v>37</v>
      </c>
      <c r="G11" s="9">
        <v>4.9000000000000004</v>
      </c>
      <c r="H11" s="7">
        <v>11</v>
      </c>
      <c r="I11" s="7">
        <v>0</v>
      </c>
      <c r="J11" s="7">
        <v>4.5999999999999996</v>
      </c>
    </row>
    <row r="12" spans="1:10" ht="14.4" x14ac:dyDescent="0.3">
      <c r="A12" s="4" t="s">
        <v>618</v>
      </c>
      <c r="B12" s="4">
        <v>50</v>
      </c>
      <c r="C12" s="4">
        <v>1375</v>
      </c>
      <c r="D12" s="4">
        <v>1.2</v>
      </c>
      <c r="E12" s="4">
        <v>1.8</v>
      </c>
      <c r="F12" s="4">
        <v>43</v>
      </c>
      <c r="G12" s="6">
        <v>3</v>
      </c>
      <c r="H12" s="4">
        <v>7</v>
      </c>
      <c r="I12" s="4">
        <v>1</v>
      </c>
      <c r="J12" s="4">
        <v>3.9</v>
      </c>
    </row>
    <row r="13" spans="1:10" ht="14.4" x14ac:dyDescent="0.3">
      <c r="A13" s="7" t="s">
        <v>619</v>
      </c>
      <c r="B13" s="7">
        <v>50</v>
      </c>
      <c r="C13" s="7">
        <v>1476</v>
      </c>
      <c r="D13" s="7">
        <v>1.3</v>
      </c>
      <c r="E13" s="7">
        <v>2.6</v>
      </c>
      <c r="F13" s="7">
        <v>81</v>
      </c>
      <c r="G13" s="9">
        <v>6.4</v>
      </c>
      <c r="H13" s="7">
        <v>19</v>
      </c>
      <c r="I13" s="7">
        <v>1</v>
      </c>
      <c r="J13" s="7">
        <v>5.0999999999999996</v>
      </c>
    </row>
    <row r="14" spans="1:10" ht="14.4" x14ac:dyDescent="0.3">
      <c r="A14" s="4" t="s">
        <v>620</v>
      </c>
      <c r="B14" s="4">
        <v>50</v>
      </c>
      <c r="C14" s="4">
        <v>2125</v>
      </c>
      <c r="D14" s="4">
        <v>1.9</v>
      </c>
      <c r="E14" s="4">
        <v>2.8</v>
      </c>
      <c r="F14" s="4">
        <v>22</v>
      </c>
      <c r="G14" s="6">
        <v>3.6</v>
      </c>
      <c r="H14" s="4">
        <v>8</v>
      </c>
      <c r="I14" s="4">
        <v>1</v>
      </c>
      <c r="J14" s="4">
        <v>1.9</v>
      </c>
    </row>
    <row r="15" spans="1:10" ht="14.4" x14ac:dyDescent="0.3">
      <c r="A15" s="7" t="s">
        <v>621</v>
      </c>
      <c r="B15" s="7">
        <v>50</v>
      </c>
      <c r="C15" s="7">
        <v>1849</v>
      </c>
      <c r="D15" s="7">
        <v>1.7</v>
      </c>
      <c r="E15" s="7">
        <v>1.6</v>
      </c>
      <c r="F15" s="7">
        <v>93</v>
      </c>
      <c r="G15" s="9">
        <v>3</v>
      </c>
      <c r="H15" s="7">
        <v>9</v>
      </c>
      <c r="I15" s="7">
        <v>2</v>
      </c>
      <c r="J15" s="7">
        <v>7.5</v>
      </c>
    </row>
    <row r="16" spans="1:10" ht="14.4" x14ac:dyDescent="0.3">
      <c r="A16" s="4" t="s">
        <v>622</v>
      </c>
      <c r="B16" s="4">
        <v>50</v>
      </c>
      <c r="C16" s="4">
        <v>1858</v>
      </c>
      <c r="D16" s="4">
        <v>1.7</v>
      </c>
      <c r="E16" s="4">
        <v>2.9</v>
      </c>
      <c r="F16" s="4">
        <v>96</v>
      </c>
      <c r="G16" s="6">
        <v>8.3000000000000007</v>
      </c>
      <c r="H16" s="4">
        <v>4</v>
      </c>
      <c r="I16" s="4">
        <v>2</v>
      </c>
      <c r="J16" s="4">
        <v>7.6</v>
      </c>
    </row>
    <row r="17" spans="1:10" ht="14.4" x14ac:dyDescent="0.3">
      <c r="A17" s="7" t="s">
        <v>623</v>
      </c>
      <c r="B17" s="7">
        <v>50</v>
      </c>
      <c r="C17" s="7">
        <v>1243</v>
      </c>
      <c r="D17" s="7">
        <v>1.1000000000000001</v>
      </c>
      <c r="E17" s="7">
        <v>2.2000000000000002</v>
      </c>
      <c r="F17" s="7">
        <v>80</v>
      </c>
      <c r="G17" s="9">
        <v>7.6</v>
      </c>
      <c r="H17" s="7">
        <v>9</v>
      </c>
      <c r="I17" s="7">
        <v>1</v>
      </c>
      <c r="J17" s="7">
        <v>6.8</v>
      </c>
    </row>
    <row r="18" spans="1:10" ht="14.4" x14ac:dyDescent="0.3">
      <c r="A18" s="4" t="s">
        <v>624</v>
      </c>
      <c r="B18" s="4">
        <v>50</v>
      </c>
      <c r="C18" s="4">
        <v>2030</v>
      </c>
      <c r="D18" s="4">
        <v>1.8</v>
      </c>
      <c r="E18" s="4">
        <v>1.7</v>
      </c>
      <c r="F18" s="4">
        <v>94</v>
      </c>
      <c r="G18" s="6">
        <v>7.3</v>
      </c>
      <c r="H18" s="4">
        <v>9</v>
      </c>
      <c r="I18" s="4">
        <v>2</v>
      </c>
      <c r="J18" s="4">
        <v>2.2000000000000002</v>
      </c>
    </row>
    <row r="19" spans="1:10" ht="14.4" x14ac:dyDescent="0.3">
      <c r="A19" s="7" t="s">
        <v>625</v>
      </c>
      <c r="B19" s="7">
        <v>50</v>
      </c>
      <c r="C19" s="7">
        <v>2204</v>
      </c>
      <c r="D19" s="7">
        <v>2</v>
      </c>
      <c r="E19" s="7">
        <v>2</v>
      </c>
      <c r="F19" s="7">
        <v>78</v>
      </c>
      <c r="G19" s="9">
        <v>5.9</v>
      </c>
      <c r="H19" s="7">
        <v>6</v>
      </c>
      <c r="I19" s="7">
        <v>1</v>
      </c>
      <c r="J19" s="7">
        <v>3.6</v>
      </c>
    </row>
    <row r="20" spans="1:10" ht="14.4" x14ac:dyDescent="0.3">
      <c r="A20" s="4" t="s">
        <v>626</v>
      </c>
      <c r="B20" s="4">
        <v>50</v>
      </c>
      <c r="C20" s="4">
        <v>1070</v>
      </c>
      <c r="D20" s="4">
        <v>1</v>
      </c>
      <c r="E20" s="4">
        <v>1.7</v>
      </c>
      <c r="F20" s="4">
        <v>45</v>
      </c>
      <c r="G20" s="6">
        <v>5.4</v>
      </c>
      <c r="H20" s="4">
        <v>20</v>
      </c>
      <c r="I20" s="4">
        <v>3</v>
      </c>
      <c r="J20" s="4">
        <v>6.8</v>
      </c>
    </row>
    <row r="21" spans="1:10" ht="15.75" customHeight="1" x14ac:dyDescent="0.3">
      <c r="A21" s="7" t="s">
        <v>627</v>
      </c>
      <c r="B21" s="7">
        <v>50</v>
      </c>
      <c r="C21" s="7">
        <v>2040</v>
      </c>
      <c r="D21" s="7">
        <v>1.9</v>
      </c>
      <c r="E21" s="7">
        <v>1.6</v>
      </c>
      <c r="F21" s="7">
        <v>80</v>
      </c>
      <c r="G21" s="9">
        <v>7.9</v>
      </c>
      <c r="H21" s="7">
        <v>5</v>
      </c>
      <c r="I21" s="7">
        <v>0</v>
      </c>
      <c r="J21" s="7">
        <v>1.7</v>
      </c>
    </row>
    <row r="22" spans="1:10" ht="15.75" customHeight="1" x14ac:dyDescent="0.3">
      <c r="A22" s="4" t="s">
        <v>628</v>
      </c>
      <c r="B22" s="4">
        <v>50</v>
      </c>
      <c r="C22" s="4">
        <v>2150</v>
      </c>
      <c r="D22" s="4">
        <v>2</v>
      </c>
      <c r="E22" s="4">
        <v>1.7</v>
      </c>
      <c r="F22" s="4">
        <v>97</v>
      </c>
      <c r="G22" s="6">
        <v>5.5</v>
      </c>
      <c r="H22" s="4">
        <v>4</v>
      </c>
      <c r="I22" s="4">
        <v>3</v>
      </c>
      <c r="J22" s="4">
        <v>4.7</v>
      </c>
    </row>
    <row r="23" spans="1:10" ht="15.75" customHeight="1" x14ac:dyDescent="0.3">
      <c r="A23" s="7" t="s">
        <v>629</v>
      </c>
      <c r="B23" s="7">
        <v>50</v>
      </c>
      <c r="C23" s="7">
        <v>1558</v>
      </c>
      <c r="D23" s="7">
        <v>1.4</v>
      </c>
      <c r="E23" s="7">
        <v>2.8</v>
      </c>
      <c r="F23" s="7">
        <v>109</v>
      </c>
      <c r="G23" s="9">
        <v>5.4</v>
      </c>
      <c r="H23" s="7">
        <v>11</v>
      </c>
      <c r="I23" s="7">
        <v>3</v>
      </c>
      <c r="J23" s="7">
        <v>6.5</v>
      </c>
    </row>
    <row r="24" spans="1:10" ht="15.75" customHeight="1" x14ac:dyDescent="0.3">
      <c r="A24" s="4" t="s">
        <v>630</v>
      </c>
      <c r="B24" s="4">
        <v>50</v>
      </c>
      <c r="C24" s="4">
        <v>1580</v>
      </c>
      <c r="D24" s="4">
        <v>1.4</v>
      </c>
      <c r="E24" s="4">
        <v>2</v>
      </c>
      <c r="F24" s="4">
        <v>114</v>
      </c>
      <c r="G24" s="6">
        <v>7.9</v>
      </c>
      <c r="H24" s="4">
        <v>7</v>
      </c>
      <c r="I24" s="4">
        <v>3</v>
      </c>
      <c r="J24" s="4">
        <v>1.9</v>
      </c>
    </row>
    <row r="25" spans="1:10" ht="15.75" customHeight="1" x14ac:dyDescent="0.3">
      <c r="A25" s="7" t="s">
        <v>631</v>
      </c>
      <c r="B25" s="7">
        <v>50</v>
      </c>
      <c r="C25" s="7">
        <v>1777</v>
      </c>
      <c r="D25" s="7">
        <v>1.6</v>
      </c>
      <c r="E25" s="7">
        <v>2.6</v>
      </c>
      <c r="F25" s="7">
        <v>30</v>
      </c>
      <c r="G25" s="9">
        <v>3.8</v>
      </c>
      <c r="H25" s="7">
        <v>17</v>
      </c>
      <c r="I25" s="7">
        <v>2</v>
      </c>
      <c r="J25" s="7">
        <v>2.2999999999999998</v>
      </c>
    </row>
    <row r="26" spans="1:10" ht="15.75" customHeight="1" x14ac:dyDescent="0.3">
      <c r="A26" s="4" t="s">
        <v>632</v>
      </c>
      <c r="B26" s="4">
        <v>50</v>
      </c>
      <c r="C26" s="4">
        <v>2252</v>
      </c>
      <c r="D26" s="4">
        <v>2</v>
      </c>
      <c r="E26" s="4">
        <v>2.6</v>
      </c>
      <c r="F26" s="4">
        <v>20</v>
      </c>
      <c r="G26" s="6">
        <v>5.8</v>
      </c>
      <c r="H26" s="4">
        <v>7</v>
      </c>
      <c r="I26" s="4">
        <v>0</v>
      </c>
      <c r="J26" s="4">
        <v>3.6</v>
      </c>
    </row>
    <row r="27" spans="1:10" ht="15.75" customHeight="1" x14ac:dyDescent="0.3">
      <c r="A27" s="7" t="s">
        <v>633</v>
      </c>
      <c r="B27" s="7">
        <v>50</v>
      </c>
      <c r="C27" s="7">
        <v>1220</v>
      </c>
      <c r="D27" s="7">
        <v>1.1000000000000001</v>
      </c>
      <c r="E27" s="7">
        <v>2.5</v>
      </c>
      <c r="F27" s="7">
        <v>60</v>
      </c>
      <c r="G27" s="9">
        <v>4.7</v>
      </c>
      <c r="H27" s="7">
        <v>7</v>
      </c>
      <c r="I27" s="7">
        <v>1</v>
      </c>
      <c r="J27" s="7">
        <v>4</v>
      </c>
    </row>
    <row r="28" spans="1:10" ht="15.75" customHeight="1" x14ac:dyDescent="0.3"/>
    <row r="29" spans="1:10" ht="15.75" customHeight="1" x14ac:dyDescent="0.3"/>
    <row r="30" spans="1:10" ht="24.75" customHeight="1" x14ac:dyDescent="0.3">
      <c r="A30" s="51" t="s">
        <v>656</v>
      </c>
      <c r="B30" s="36"/>
      <c r="C30" s="36"/>
      <c r="D30" s="36"/>
      <c r="E30" s="36"/>
      <c r="F30" s="37"/>
    </row>
    <row r="31" spans="1:10" ht="15.75" customHeight="1" x14ac:dyDescent="0.3">
      <c r="A31" s="3" t="s">
        <v>657</v>
      </c>
      <c r="B31" s="3" t="s">
        <v>658</v>
      </c>
      <c r="C31" s="3" t="s">
        <v>659</v>
      </c>
      <c r="D31" s="3" t="s">
        <v>660</v>
      </c>
      <c r="E31" s="3" t="s">
        <v>661</v>
      </c>
      <c r="F31" s="3" t="s">
        <v>662</v>
      </c>
      <c r="G31" s="3" t="s">
        <v>663</v>
      </c>
    </row>
    <row r="32" spans="1:10" ht="15.75" customHeight="1" x14ac:dyDescent="0.3">
      <c r="A32" s="4" t="s">
        <v>664</v>
      </c>
      <c r="B32" s="4" t="s">
        <v>665</v>
      </c>
      <c r="C32" s="4">
        <v>18</v>
      </c>
      <c r="D32" s="4">
        <v>342</v>
      </c>
      <c r="E32" s="4">
        <v>1.2</v>
      </c>
      <c r="F32" s="4">
        <v>8.5</v>
      </c>
      <c r="G32" s="4">
        <v>4</v>
      </c>
    </row>
    <row r="33" spans="1:7" ht="15.75" customHeight="1" x14ac:dyDescent="0.3">
      <c r="A33" s="7" t="s">
        <v>666</v>
      </c>
      <c r="B33" s="7" t="s">
        <v>667</v>
      </c>
      <c r="C33" s="7">
        <v>16</v>
      </c>
      <c r="D33" s="7">
        <v>298</v>
      </c>
      <c r="E33" s="7">
        <v>1.8</v>
      </c>
      <c r="F33" s="7">
        <v>12.3</v>
      </c>
      <c r="G33" s="7">
        <v>3</v>
      </c>
    </row>
    <row r="34" spans="1:7" ht="15.75" customHeight="1" x14ac:dyDescent="0.3">
      <c r="A34" s="4" t="s">
        <v>668</v>
      </c>
      <c r="B34" s="4" t="s">
        <v>669</v>
      </c>
      <c r="C34" s="4">
        <v>14</v>
      </c>
      <c r="D34" s="4">
        <v>256</v>
      </c>
      <c r="E34" s="4">
        <v>2.1</v>
      </c>
      <c r="F34" s="4">
        <v>15</v>
      </c>
      <c r="G34" s="4">
        <v>3</v>
      </c>
    </row>
    <row r="35" spans="1:7" ht="15.75" customHeight="1" x14ac:dyDescent="0.3">
      <c r="A35" s="7" t="s">
        <v>670</v>
      </c>
      <c r="B35" s="7" t="s">
        <v>671</v>
      </c>
      <c r="C35" s="7">
        <v>10</v>
      </c>
      <c r="D35" s="7">
        <v>198</v>
      </c>
      <c r="E35" s="7">
        <v>0.9</v>
      </c>
      <c r="F35" s="7">
        <v>5.2</v>
      </c>
      <c r="G35" s="7">
        <v>5</v>
      </c>
    </row>
    <row r="36" spans="1:7" ht="15.75" customHeight="1" x14ac:dyDescent="0.3"/>
    <row r="37" spans="1:7" ht="15.75" customHeight="1" x14ac:dyDescent="0.3"/>
    <row r="38" spans="1:7" ht="15.75" customHeight="1" x14ac:dyDescent="0.3"/>
    <row r="39" spans="1:7" ht="15.75" customHeight="1" x14ac:dyDescent="0.3"/>
    <row r="40" spans="1:7" ht="15.75" customHeight="1" x14ac:dyDescent="0.3"/>
    <row r="41" spans="1:7" ht="15.75" customHeight="1" x14ac:dyDescent="0.3"/>
    <row r="42" spans="1:7" ht="15.75" customHeight="1" x14ac:dyDescent="0.3"/>
    <row r="43" spans="1:7" ht="15.75" customHeight="1" x14ac:dyDescent="0.3"/>
    <row r="44" spans="1:7" ht="15.75" customHeight="1" x14ac:dyDescent="0.3"/>
    <row r="45" spans="1:7" ht="15.75" customHeight="1" x14ac:dyDescent="0.3"/>
    <row r="46" spans="1:7" ht="15.75" customHeight="1" x14ac:dyDescent="0.3"/>
    <row r="47" spans="1:7" ht="15.75" customHeight="1" x14ac:dyDescent="0.3"/>
    <row r="48" spans="1:7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J1"/>
    <mergeCell ref="A30:F30"/>
  </mergeCells>
  <pageMargins left="0.75" right="0.75" top="1" bottom="1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F1000"/>
  <sheetViews>
    <sheetView showGridLines="0" zoomScale="55" zoomScaleNormal="55" workbookViewId="0">
      <selection activeCell="H37" sqref="H37"/>
    </sheetView>
  </sheetViews>
  <sheetFormatPr defaultColWidth="14.44140625" defaultRowHeight="15" customHeight="1" x14ac:dyDescent="0.3"/>
  <cols>
    <col min="1" max="1" width="33.6640625" customWidth="1"/>
    <col min="2" max="2" width="9.21875" customWidth="1"/>
    <col min="3" max="3" width="11" customWidth="1"/>
    <col min="4" max="5" width="8.6640625" customWidth="1"/>
    <col min="6" max="6" width="50" customWidth="1"/>
    <col min="7" max="26" width="8.6640625" customWidth="1"/>
  </cols>
  <sheetData>
    <row r="1" spans="1:6" ht="30" customHeight="1" x14ac:dyDescent="0.3">
      <c r="A1" s="50" t="s">
        <v>722</v>
      </c>
      <c r="B1" s="36"/>
      <c r="C1" s="36"/>
      <c r="D1" s="36"/>
      <c r="E1" s="36"/>
      <c r="F1" s="37"/>
    </row>
    <row r="3" spans="1:6" ht="24.75" customHeight="1" x14ac:dyDescent="0.3">
      <c r="A3" s="60" t="s">
        <v>723</v>
      </c>
      <c r="B3" s="36"/>
      <c r="C3" s="36"/>
      <c r="D3" s="36"/>
      <c r="E3" s="36"/>
      <c r="F3" s="37"/>
    </row>
    <row r="4" spans="1:6" ht="21.75" customHeight="1" x14ac:dyDescent="0.3">
      <c r="A4" s="30" t="s">
        <v>724</v>
      </c>
      <c r="B4" s="31">
        <v>90</v>
      </c>
    </row>
    <row r="5" spans="1:6" ht="21.75" customHeight="1" x14ac:dyDescent="0.3">
      <c r="A5" s="30" t="s">
        <v>725</v>
      </c>
      <c r="B5" s="32">
        <v>4.5</v>
      </c>
    </row>
    <row r="6" spans="1:6" ht="21.75" customHeight="1" x14ac:dyDescent="0.3">
      <c r="A6" s="30" t="s">
        <v>726</v>
      </c>
      <c r="B6" s="31">
        <v>10</v>
      </c>
    </row>
    <row r="7" spans="1:6" ht="21.75" customHeight="1" x14ac:dyDescent="0.3">
      <c r="A7" s="30" t="s">
        <v>727</v>
      </c>
      <c r="B7" s="31">
        <v>14</v>
      </c>
    </row>
    <row r="8" spans="1:6" ht="21.75" customHeight="1" x14ac:dyDescent="0.3">
      <c r="A8" s="30" t="s">
        <v>728</v>
      </c>
      <c r="B8" s="32">
        <v>1.5</v>
      </c>
    </row>
    <row r="9" spans="1:6" ht="21.75" customHeight="1" x14ac:dyDescent="0.3">
      <c r="A9" s="30" t="s">
        <v>729</v>
      </c>
      <c r="B9" s="32">
        <v>20</v>
      </c>
    </row>
    <row r="12" spans="1:6" ht="24.75" customHeight="1" x14ac:dyDescent="0.3">
      <c r="A12" s="60" t="s">
        <v>730</v>
      </c>
      <c r="B12" s="36"/>
      <c r="C12" s="36"/>
      <c r="D12" s="36"/>
      <c r="E12" s="36"/>
      <c r="F12" s="37"/>
    </row>
    <row r="13" spans="1:6" ht="21.75" customHeight="1" x14ac:dyDescent="0.3">
      <c r="A13" s="30" t="s">
        <v>731</v>
      </c>
      <c r="B13" s="93">
        <f>SUM('Cost Analysis'!C4:C27)*B7/100</f>
        <v>199285.38</v>
      </c>
    </row>
    <row r="14" spans="1:6" ht="21.75" customHeight="1" x14ac:dyDescent="0.3">
      <c r="A14" s="30" t="s">
        <v>732</v>
      </c>
      <c r="B14" s="34">
        <f>COUNTIF('Raw Data'!U4:U323,"&lt;"&amp;'Raw Data'!W4:W323*(1+B9/10))/COUNTA('Raw Data'!U4:U323)</f>
        <v>0.58934169278996862</v>
      </c>
    </row>
    <row r="15" spans="1:6" ht="21.75" customHeight="1" x14ac:dyDescent="0.3">
      <c r="A15" s="30" t="s">
        <v>733</v>
      </c>
      <c r="B15" s="92">
        <f>SUM('Cost Analysis'!D4:D27)*(1+B9/10)</f>
        <v>289617158.81999999</v>
      </c>
    </row>
    <row r="16" spans="1:6" ht="21.75" customHeight="1" x14ac:dyDescent="0.3">
      <c r="A16" s="30" t="s">
        <v>734</v>
      </c>
      <c r="B16" s="35">
        <f>B4/100 - (1-AVERAGE('Logistics &amp; Delivery'!F4:F8))</f>
        <v>0.11012047316959428</v>
      </c>
    </row>
    <row r="17" spans="1:3" ht="21.75" customHeight="1" x14ac:dyDescent="0.3">
      <c r="A17" s="30" t="s">
        <v>735</v>
      </c>
      <c r="B17" s="33">
        <f>B13+B15</f>
        <v>289816444.19999999</v>
      </c>
    </row>
    <row r="18" spans="1:3" ht="21.75" customHeight="1" x14ac:dyDescent="0.3">
      <c r="A18" s="30" t="s">
        <v>736</v>
      </c>
      <c r="B18" s="34">
        <f>B17/'Cost Analysis'!B4</f>
        <v>1.1075465509765154</v>
      </c>
    </row>
    <row r="21" spans="1:3" ht="15.75" customHeight="1" x14ac:dyDescent="0.3"/>
    <row r="22" spans="1:3" ht="15.75" customHeight="1" x14ac:dyDescent="0.3">
      <c r="A22" s="18" t="s">
        <v>714</v>
      </c>
      <c r="B22" s="18" t="s">
        <v>737</v>
      </c>
      <c r="C22" s="18" t="s">
        <v>738</v>
      </c>
    </row>
    <row r="23" spans="1:3" ht="15.75" customHeight="1" x14ac:dyDescent="0.3">
      <c r="A23" s="18" t="s">
        <v>585</v>
      </c>
      <c r="B23" s="18">
        <v>82</v>
      </c>
      <c r="C23" s="18">
        <v>90</v>
      </c>
    </row>
    <row r="24" spans="1:3" ht="15.75" customHeight="1" x14ac:dyDescent="0.3">
      <c r="A24" s="18" t="s">
        <v>511</v>
      </c>
      <c r="B24" s="18">
        <v>3.2</v>
      </c>
      <c r="C24" s="18">
        <v>4.5</v>
      </c>
    </row>
    <row r="25" spans="1:3" ht="15.75" customHeight="1" x14ac:dyDescent="0.3">
      <c r="A25" s="18" t="s">
        <v>739</v>
      </c>
      <c r="B25" s="18">
        <v>8.5</v>
      </c>
      <c r="C25" s="18">
        <v>7.2</v>
      </c>
    </row>
    <row r="26" spans="1:3" ht="15.75" customHeight="1" x14ac:dyDescent="0.3">
      <c r="A26" s="18" t="s">
        <v>674</v>
      </c>
      <c r="B26" s="18">
        <v>4.2</v>
      </c>
      <c r="C26" s="18">
        <v>3</v>
      </c>
    </row>
    <row r="27" spans="1:3" ht="15.75" customHeight="1" x14ac:dyDescent="0.3">
      <c r="A27" s="18" t="s">
        <v>740</v>
      </c>
      <c r="B27" s="18">
        <v>18</v>
      </c>
      <c r="C27" s="18">
        <v>14</v>
      </c>
    </row>
    <row r="28" spans="1:3" ht="15.75" customHeight="1" x14ac:dyDescent="0.3">
      <c r="A28" s="18" t="s">
        <v>741</v>
      </c>
      <c r="B28" s="18">
        <v>16</v>
      </c>
      <c r="C28" s="18">
        <v>20</v>
      </c>
    </row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A1:F1"/>
    <mergeCell ref="A3:F3"/>
    <mergeCell ref="A12:F12"/>
  </mergeCells>
  <pageMargins left="0.75" right="0.75" top="1" bottom="1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 Page</vt:lpstr>
      <vt:lpstr>KPI Dashboard</vt:lpstr>
      <vt:lpstr>Raw Data</vt:lpstr>
      <vt:lpstr>Inventory Analysis</vt:lpstr>
      <vt:lpstr>Demand Forecasting</vt:lpstr>
      <vt:lpstr>Supplier Scorecard</vt:lpstr>
      <vt:lpstr>Logistics &amp; Delivery</vt:lpstr>
      <vt:lpstr>Cost Analysis</vt:lpstr>
      <vt:lpstr>Workforce &amp; Ops</vt:lpstr>
      <vt:lpstr>What-If Simulator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kaulagi</dc:creator>
  <cp:lastModifiedBy>Siddharth kaulagi</cp:lastModifiedBy>
  <dcterms:created xsi:type="dcterms:W3CDTF">2026-04-27T12:56:22Z</dcterms:created>
  <dcterms:modified xsi:type="dcterms:W3CDTF">2026-04-27T17:23:47Z</dcterms:modified>
</cp:coreProperties>
</file>