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a\Downloads\"/>
    </mc:Choice>
  </mc:AlternateContent>
  <xr:revisionPtr revIDLastSave="0" documentId="8_{8659391D-0448-466A-AD49-85080944DE1E}" xr6:coauthVersionLast="47" xr6:coauthVersionMax="47" xr10:uidLastSave="{00000000-0000-0000-0000-000000000000}"/>
  <bookViews>
    <workbookView xWindow="-108" yWindow="-108" windowWidth="23256" windowHeight="12456" xr2:uid="{506B926C-08AC-40FA-800B-AD648724070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22" i="1" l="1"/>
  <c r="T322" i="1" s="1"/>
  <c r="P322" i="1"/>
  <c r="S321" i="1"/>
  <c r="T321" i="1" s="1"/>
  <c r="P321" i="1"/>
  <c r="S320" i="1"/>
  <c r="T320" i="1" s="1"/>
  <c r="P320" i="1"/>
  <c r="S319" i="1"/>
  <c r="T319" i="1" s="1"/>
  <c r="P319" i="1"/>
  <c r="S318" i="1"/>
  <c r="T318" i="1" s="1"/>
  <c r="P318" i="1"/>
  <c r="S317" i="1"/>
  <c r="T317" i="1" s="1"/>
  <c r="P317" i="1"/>
  <c r="S316" i="1"/>
  <c r="T316" i="1" s="1"/>
  <c r="P316" i="1"/>
  <c r="S315" i="1"/>
  <c r="T315" i="1" s="1"/>
  <c r="P315" i="1"/>
  <c r="S314" i="1"/>
  <c r="T314" i="1" s="1"/>
  <c r="P314" i="1"/>
  <c r="S313" i="1"/>
  <c r="T313" i="1" s="1"/>
  <c r="P313" i="1"/>
  <c r="S312" i="1"/>
  <c r="T312" i="1" s="1"/>
  <c r="P312" i="1"/>
  <c r="S311" i="1"/>
  <c r="T311" i="1" s="1"/>
  <c r="P311" i="1"/>
  <c r="S310" i="1"/>
  <c r="T310" i="1" s="1"/>
  <c r="P310" i="1"/>
  <c r="S309" i="1"/>
  <c r="T309" i="1" s="1"/>
  <c r="P309" i="1"/>
  <c r="S308" i="1"/>
  <c r="T308" i="1" s="1"/>
  <c r="P308" i="1"/>
  <c r="S307" i="1"/>
  <c r="T307" i="1" s="1"/>
  <c r="P307" i="1"/>
  <c r="S306" i="1"/>
  <c r="T306" i="1" s="1"/>
  <c r="P306" i="1"/>
  <c r="S305" i="1"/>
  <c r="T305" i="1" s="1"/>
  <c r="P305" i="1"/>
  <c r="S304" i="1"/>
  <c r="T304" i="1" s="1"/>
  <c r="P304" i="1"/>
  <c r="S303" i="1"/>
  <c r="T303" i="1" s="1"/>
  <c r="P303" i="1"/>
  <c r="S302" i="1"/>
  <c r="T302" i="1" s="1"/>
  <c r="P302" i="1"/>
  <c r="S301" i="1"/>
  <c r="T301" i="1" s="1"/>
  <c r="P301" i="1"/>
  <c r="S300" i="1"/>
  <c r="T300" i="1" s="1"/>
  <c r="P300" i="1"/>
  <c r="S299" i="1"/>
  <c r="T299" i="1" s="1"/>
  <c r="P299" i="1"/>
  <c r="S298" i="1"/>
  <c r="T298" i="1" s="1"/>
  <c r="P298" i="1"/>
  <c r="S297" i="1"/>
  <c r="T297" i="1" s="1"/>
  <c r="P297" i="1"/>
  <c r="S296" i="1"/>
  <c r="T296" i="1" s="1"/>
  <c r="P296" i="1"/>
  <c r="S295" i="1"/>
  <c r="T295" i="1" s="1"/>
  <c r="P295" i="1"/>
  <c r="S294" i="1"/>
  <c r="T294" i="1" s="1"/>
  <c r="P294" i="1"/>
  <c r="S293" i="1"/>
  <c r="T293" i="1" s="1"/>
  <c r="P293" i="1"/>
  <c r="S292" i="1"/>
  <c r="T292" i="1" s="1"/>
  <c r="P292" i="1"/>
  <c r="S291" i="1"/>
  <c r="T291" i="1" s="1"/>
  <c r="P291" i="1"/>
  <c r="S290" i="1"/>
  <c r="T290" i="1" s="1"/>
  <c r="P290" i="1"/>
  <c r="S289" i="1"/>
  <c r="T289" i="1" s="1"/>
  <c r="P289" i="1"/>
  <c r="S288" i="1"/>
  <c r="T288" i="1" s="1"/>
  <c r="P288" i="1"/>
  <c r="S287" i="1"/>
  <c r="T287" i="1" s="1"/>
  <c r="P287" i="1"/>
  <c r="S286" i="1"/>
  <c r="T286" i="1" s="1"/>
  <c r="P286" i="1"/>
  <c r="S285" i="1"/>
  <c r="T285" i="1" s="1"/>
  <c r="P285" i="1"/>
  <c r="S284" i="1"/>
  <c r="T284" i="1" s="1"/>
  <c r="P284" i="1"/>
  <c r="S283" i="1"/>
  <c r="T283" i="1" s="1"/>
  <c r="P283" i="1"/>
  <c r="S282" i="1"/>
  <c r="T282" i="1" s="1"/>
  <c r="P282" i="1"/>
  <c r="S281" i="1"/>
  <c r="T281" i="1" s="1"/>
  <c r="P281" i="1"/>
  <c r="S280" i="1"/>
  <c r="T280" i="1" s="1"/>
  <c r="P280" i="1"/>
  <c r="S279" i="1"/>
  <c r="T279" i="1" s="1"/>
  <c r="P279" i="1"/>
  <c r="S278" i="1"/>
  <c r="T278" i="1" s="1"/>
  <c r="P278" i="1"/>
  <c r="S277" i="1"/>
  <c r="T277" i="1" s="1"/>
  <c r="P277" i="1"/>
  <c r="S276" i="1"/>
  <c r="T276" i="1" s="1"/>
  <c r="P276" i="1"/>
  <c r="S275" i="1"/>
  <c r="T275" i="1" s="1"/>
  <c r="P275" i="1"/>
  <c r="S274" i="1"/>
  <c r="T274" i="1" s="1"/>
  <c r="P274" i="1"/>
  <c r="S273" i="1"/>
  <c r="T273" i="1" s="1"/>
  <c r="P273" i="1"/>
  <c r="S272" i="1"/>
  <c r="T272" i="1" s="1"/>
  <c r="P272" i="1"/>
  <c r="S271" i="1"/>
  <c r="T271" i="1" s="1"/>
  <c r="P271" i="1"/>
  <c r="S270" i="1"/>
  <c r="T270" i="1" s="1"/>
  <c r="P270" i="1"/>
  <c r="S269" i="1"/>
  <c r="T269" i="1" s="1"/>
  <c r="P269" i="1"/>
  <c r="S268" i="1"/>
  <c r="T268" i="1" s="1"/>
  <c r="P268" i="1"/>
  <c r="S267" i="1"/>
  <c r="T267" i="1" s="1"/>
  <c r="P267" i="1"/>
  <c r="S266" i="1"/>
  <c r="T266" i="1" s="1"/>
  <c r="P266" i="1"/>
  <c r="S265" i="1"/>
  <c r="T265" i="1" s="1"/>
  <c r="P265" i="1"/>
  <c r="S264" i="1"/>
  <c r="T264" i="1" s="1"/>
  <c r="P264" i="1"/>
  <c r="S263" i="1"/>
  <c r="T263" i="1" s="1"/>
  <c r="P263" i="1"/>
  <c r="S262" i="1"/>
  <c r="T262" i="1" s="1"/>
  <c r="P262" i="1"/>
  <c r="S261" i="1"/>
  <c r="T261" i="1" s="1"/>
  <c r="P261" i="1"/>
  <c r="S260" i="1"/>
  <c r="T260" i="1" s="1"/>
  <c r="P260" i="1"/>
  <c r="S259" i="1"/>
  <c r="T259" i="1" s="1"/>
  <c r="P259" i="1"/>
  <c r="S258" i="1"/>
  <c r="T258" i="1" s="1"/>
  <c r="P258" i="1"/>
  <c r="S257" i="1"/>
  <c r="T257" i="1" s="1"/>
  <c r="P257" i="1"/>
  <c r="S256" i="1"/>
  <c r="T256" i="1" s="1"/>
  <c r="P256" i="1"/>
  <c r="S255" i="1"/>
  <c r="T255" i="1" s="1"/>
  <c r="P255" i="1"/>
  <c r="S254" i="1"/>
  <c r="T254" i="1" s="1"/>
  <c r="P254" i="1"/>
  <c r="S253" i="1"/>
  <c r="T253" i="1" s="1"/>
  <c r="P253" i="1"/>
  <c r="S252" i="1"/>
  <c r="T252" i="1" s="1"/>
  <c r="P252" i="1"/>
  <c r="S251" i="1"/>
  <c r="T251" i="1" s="1"/>
  <c r="P251" i="1"/>
  <c r="S250" i="1"/>
  <c r="T250" i="1" s="1"/>
  <c r="P250" i="1"/>
  <c r="S249" i="1"/>
  <c r="T249" i="1" s="1"/>
  <c r="P249" i="1"/>
  <c r="S248" i="1"/>
  <c r="T248" i="1" s="1"/>
  <c r="P248" i="1"/>
  <c r="S247" i="1"/>
  <c r="T247" i="1" s="1"/>
  <c r="P247" i="1"/>
  <c r="S246" i="1"/>
  <c r="T246" i="1" s="1"/>
  <c r="P246" i="1"/>
  <c r="S245" i="1"/>
  <c r="T245" i="1" s="1"/>
  <c r="P245" i="1"/>
  <c r="S244" i="1"/>
  <c r="T244" i="1" s="1"/>
  <c r="P244" i="1"/>
  <c r="S243" i="1"/>
  <c r="T243" i="1" s="1"/>
  <c r="P243" i="1"/>
  <c r="S242" i="1"/>
  <c r="T242" i="1" s="1"/>
  <c r="P242" i="1"/>
  <c r="S241" i="1"/>
  <c r="T241" i="1" s="1"/>
  <c r="P241" i="1"/>
  <c r="S240" i="1"/>
  <c r="T240" i="1" s="1"/>
  <c r="P240" i="1"/>
  <c r="S239" i="1"/>
  <c r="T239" i="1" s="1"/>
  <c r="P239" i="1"/>
  <c r="S238" i="1"/>
  <c r="T238" i="1" s="1"/>
  <c r="P238" i="1"/>
  <c r="S237" i="1"/>
  <c r="T237" i="1" s="1"/>
  <c r="P237" i="1"/>
  <c r="S236" i="1"/>
  <c r="T236" i="1" s="1"/>
  <c r="P236" i="1"/>
  <c r="S235" i="1"/>
  <c r="T235" i="1" s="1"/>
  <c r="P235" i="1"/>
  <c r="S234" i="1"/>
  <c r="T234" i="1" s="1"/>
  <c r="P234" i="1"/>
  <c r="S233" i="1"/>
  <c r="T233" i="1" s="1"/>
  <c r="P233" i="1"/>
  <c r="S232" i="1"/>
  <c r="T232" i="1" s="1"/>
  <c r="P232" i="1"/>
  <c r="S231" i="1"/>
  <c r="T231" i="1" s="1"/>
  <c r="P231" i="1"/>
  <c r="S230" i="1"/>
  <c r="T230" i="1" s="1"/>
  <c r="P230" i="1"/>
  <c r="S229" i="1"/>
  <c r="T229" i="1" s="1"/>
  <c r="P229" i="1"/>
  <c r="S228" i="1"/>
  <c r="T228" i="1" s="1"/>
  <c r="P228" i="1"/>
  <c r="S227" i="1"/>
  <c r="T227" i="1" s="1"/>
  <c r="P227" i="1"/>
  <c r="S226" i="1"/>
  <c r="T226" i="1" s="1"/>
  <c r="P226" i="1"/>
  <c r="S225" i="1"/>
  <c r="T225" i="1" s="1"/>
  <c r="P225" i="1"/>
  <c r="S224" i="1"/>
  <c r="T224" i="1" s="1"/>
  <c r="P224" i="1"/>
  <c r="S223" i="1"/>
  <c r="T223" i="1" s="1"/>
  <c r="P223" i="1"/>
  <c r="S222" i="1"/>
  <c r="T222" i="1" s="1"/>
  <c r="P222" i="1"/>
  <c r="S221" i="1"/>
  <c r="T221" i="1" s="1"/>
  <c r="P221" i="1"/>
  <c r="S220" i="1"/>
  <c r="T220" i="1" s="1"/>
  <c r="P220" i="1"/>
  <c r="S219" i="1"/>
  <c r="T219" i="1" s="1"/>
  <c r="P219" i="1"/>
  <c r="S218" i="1"/>
  <c r="T218" i="1" s="1"/>
  <c r="P218" i="1"/>
  <c r="S217" i="1"/>
  <c r="T217" i="1" s="1"/>
  <c r="P217" i="1"/>
  <c r="S216" i="1"/>
  <c r="T216" i="1" s="1"/>
  <c r="P216" i="1"/>
  <c r="S215" i="1"/>
  <c r="T215" i="1" s="1"/>
  <c r="P215" i="1"/>
  <c r="S214" i="1"/>
  <c r="T214" i="1" s="1"/>
  <c r="P214" i="1"/>
  <c r="S213" i="1"/>
  <c r="T213" i="1" s="1"/>
  <c r="P213" i="1"/>
  <c r="S212" i="1"/>
  <c r="T212" i="1" s="1"/>
  <c r="P212" i="1"/>
  <c r="S211" i="1"/>
  <c r="T211" i="1" s="1"/>
  <c r="P211" i="1"/>
  <c r="S210" i="1"/>
  <c r="T210" i="1" s="1"/>
  <c r="P210" i="1"/>
  <c r="S209" i="1"/>
  <c r="T209" i="1" s="1"/>
  <c r="P209" i="1"/>
  <c r="S208" i="1"/>
  <c r="T208" i="1" s="1"/>
  <c r="P208" i="1"/>
  <c r="S207" i="1"/>
  <c r="T207" i="1" s="1"/>
  <c r="P207" i="1"/>
  <c r="S206" i="1"/>
  <c r="T206" i="1" s="1"/>
  <c r="P206" i="1"/>
  <c r="S205" i="1"/>
  <c r="T205" i="1" s="1"/>
  <c r="P205" i="1"/>
  <c r="S204" i="1"/>
  <c r="T204" i="1" s="1"/>
  <c r="P204" i="1"/>
  <c r="S203" i="1"/>
  <c r="T203" i="1" s="1"/>
  <c r="P203" i="1"/>
  <c r="S202" i="1"/>
  <c r="T202" i="1" s="1"/>
  <c r="P202" i="1"/>
  <c r="S201" i="1"/>
  <c r="T201" i="1" s="1"/>
  <c r="P201" i="1"/>
  <c r="S200" i="1"/>
  <c r="T200" i="1" s="1"/>
  <c r="P200" i="1"/>
  <c r="S199" i="1"/>
  <c r="T199" i="1" s="1"/>
  <c r="P199" i="1"/>
  <c r="S198" i="1"/>
  <c r="T198" i="1" s="1"/>
  <c r="P198" i="1"/>
  <c r="S197" i="1"/>
  <c r="T197" i="1" s="1"/>
  <c r="P197" i="1"/>
  <c r="S196" i="1"/>
  <c r="T196" i="1" s="1"/>
  <c r="P196" i="1"/>
  <c r="S195" i="1"/>
  <c r="T195" i="1" s="1"/>
  <c r="P195" i="1"/>
  <c r="S194" i="1"/>
  <c r="T194" i="1" s="1"/>
  <c r="P194" i="1"/>
  <c r="S193" i="1"/>
  <c r="T193" i="1" s="1"/>
  <c r="P193" i="1"/>
  <c r="S192" i="1"/>
  <c r="T192" i="1" s="1"/>
  <c r="P192" i="1"/>
  <c r="S191" i="1"/>
  <c r="T191" i="1" s="1"/>
  <c r="P191" i="1"/>
  <c r="S190" i="1"/>
  <c r="T190" i="1" s="1"/>
  <c r="P190" i="1"/>
  <c r="S189" i="1"/>
  <c r="T189" i="1" s="1"/>
  <c r="P189" i="1"/>
  <c r="S188" i="1"/>
  <c r="T188" i="1" s="1"/>
  <c r="P188" i="1"/>
  <c r="S187" i="1"/>
  <c r="T187" i="1" s="1"/>
  <c r="P187" i="1"/>
  <c r="S186" i="1"/>
  <c r="T186" i="1" s="1"/>
  <c r="P186" i="1"/>
  <c r="S185" i="1"/>
  <c r="T185" i="1" s="1"/>
  <c r="P185" i="1"/>
  <c r="S184" i="1"/>
  <c r="T184" i="1" s="1"/>
  <c r="P184" i="1"/>
  <c r="S183" i="1"/>
  <c r="T183" i="1" s="1"/>
  <c r="P183" i="1"/>
  <c r="S182" i="1"/>
  <c r="T182" i="1" s="1"/>
  <c r="P182" i="1"/>
  <c r="S181" i="1"/>
  <c r="T181" i="1" s="1"/>
  <c r="P181" i="1"/>
  <c r="S180" i="1"/>
  <c r="T180" i="1" s="1"/>
  <c r="P180" i="1"/>
  <c r="S179" i="1"/>
  <c r="T179" i="1" s="1"/>
  <c r="P179" i="1"/>
  <c r="S178" i="1"/>
  <c r="T178" i="1" s="1"/>
  <c r="P178" i="1"/>
  <c r="S177" i="1"/>
  <c r="T177" i="1" s="1"/>
  <c r="P177" i="1"/>
  <c r="S176" i="1"/>
  <c r="T176" i="1" s="1"/>
  <c r="P176" i="1"/>
  <c r="S175" i="1"/>
  <c r="T175" i="1" s="1"/>
  <c r="P175" i="1"/>
  <c r="S174" i="1"/>
  <c r="T174" i="1" s="1"/>
  <c r="P174" i="1"/>
  <c r="S173" i="1"/>
  <c r="T173" i="1" s="1"/>
  <c r="P173" i="1"/>
  <c r="S172" i="1"/>
  <c r="T172" i="1" s="1"/>
  <c r="P172" i="1"/>
  <c r="S171" i="1"/>
  <c r="T171" i="1" s="1"/>
  <c r="P171" i="1"/>
  <c r="S170" i="1"/>
  <c r="T170" i="1" s="1"/>
  <c r="P170" i="1"/>
  <c r="S169" i="1"/>
  <c r="T169" i="1" s="1"/>
  <c r="P169" i="1"/>
  <c r="S168" i="1"/>
  <c r="T168" i="1" s="1"/>
  <c r="P168" i="1"/>
  <c r="S167" i="1"/>
  <c r="T167" i="1" s="1"/>
  <c r="P167" i="1"/>
  <c r="S166" i="1"/>
  <c r="T166" i="1" s="1"/>
  <c r="P166" i="1"/>
  <c r="S165" i="1"/>
  <c r="T165" i="1" s="1"/>
  <c r="P165" i="1"/>
  <c r="S164" i="1"/>
  <c r="T164" i="1" s="1"/>
  <c r="P164" i="1"/>
  <c r="S163" i="1"/>
  <c r="T163" i="1" s="1"/>
  <c r="P163" i="1"/>
  <c r="S162" i="1"/>
  <c r="T162" i="1" s="1"/>
  <c r="P162" i="1"/>
  <c r="S161" i="1"/>
  <c r="T161" i="1" s="1"/>
  <c r="P161" i="1"/>
  <c r="S160" i="1"/>
  <c r="T160" i="1" s="1"/>
  <c r="P160" i="1"/>
  <c r="S159" i="1"/>
  <c r="T159" i="1" s="1"/>
  <c r="P159" i="1"/>
  <c r="S158" i="1"/>
  <c r="T158" i="1" s="1"/>
  <c r="P158" i="1"/>
  <c r="S157" i="1"/>
  <c r="T157" i="1" s="1"/>
  <c r="P157" i="1"/>
  <c r="S156" i="1"/>
  <c r="T156" i="1" s="1"/>
  <c r="P156" i="1"/>
  <c r="S155" i="1"/>
  <c r="T155" i="1" s="1"/>
  <c r="P155" i="1"/>
  <c r="S154" i="1"/>
  <c r="T154" i="1" s="1"/>
  <c r="P154" i="1"/>
  <c r="S153" i="1"/>
  <c r="T153" i="1" s="1"/>
  <c r="P153" i="1"/>
  <c r="S152" i="1"/>
  <c r="T152" i="1" s="1"/>
  <c r="P152" i="1"/>
  <c r="S151" i="1"/>
  <c r="T151" i="1" s="1"/>
  <c r="P151" i="1"/>
  <c r="S150" i="1"/>
  <c r="T150" i="1" s="1"/>
  <c r="P150" i="1"/>
  <c r="S149" i="1"/>
  <c r="T149" i="1" s="1"/>
  <c r="P149" i="1"/>
  <c r="S148" i="1"/>
  <c r="T148" i="1" s="1"/>
  <c r="P148" i="1"/>
  <c r="S147" i="1"/>
  <c r="T147" i="1" s="1"/>
  <c r="P147" i="1"/>
  <c r="S146" i="1"/>
  <c r="T146" i="1" s="1"/>
  <c r="P146" i="1"/>
  <c r="S145" i="1"/>
  <c r="T145" i="1" s="1"/>
  <c r="P145" i="1"/>
  <c r="S144" i="1"/>
  <c r="T144" i="1" s="1"/>
  <c r="P144" i="1"/>
  <c r="S143" i="1"/>
  <c r="T143" i="1" s="1"/>
  <c r="P143" i="1"/>
  <c r="S142" i="1"/>
  <c r="T142" i="1" s="1"/>
  <c r="P142" i="1"/>
  <c r="S141" i="1"/>
  <c r="T141" i="1" s="1"/>
  <c r="P141" i="1"/>
  <c r="S140" i="1"/>
  <c r="T140" i="1" s="1"/>
  <c r="P140" i="1"/>
  <c r="S139" i="1"/>
  <c r="T139" i="1" s="1"/>
  <c r="P139" i="1"/>
  <c r="S138" i="1"/>
  <c r="T138" i="1" s="1"/>
  <c r="P138" i="1"/>
  <c r="S137" i="1"/>
  <c r="T137" i="1" s="1"/>
  <c r="P137" i="1"/>
  <c r="S136" i="1"/>
  <c r="T136" i="1" s="1"/>
  <c r="P136" i="1"/>
  <c r="S135" i="1"/>
  <c r="T135" i="1" s="1"/>
  <c r="P135" i="1"/>
  <c r="S134" i="1"/>
  <c r="T134" i="1" s="1"/>
  <c r="P134" i="1"/>
  <c r="S133" i="1"/>
  <c r="T133" i="1" s="1"/>
  <c r="P133" i="1"/>
  <c r="S132" i="1"/>
  <c r="T132" i="1" s="1"/>
  <c r="P132" i="1"/>
  <c r="S131" i="1"/>
  <c r="T131" i="1" s="1"/>
  <c r="P131" i="1"/>
  <c r="S130" i="1"/>
  <c r="T130" i="1" s="1"/>
  <c r="P130" i="1"/>
  <c r="S129" i="1"/>
  <c r="T129" i="1" s="1"/>
  <c r="P129" i="1"/>
  <c r="S128" i="1"/>
  <c r="T128" i="1" s="1"/>
  <c r="P128" i="1"/>
  <c r="S127" i="1"/>
  <c r="T127" i="1" s="1"/>
  <c r="P127" i="1"/>
  <c r="S126" i="1"/>
  <c r="T126" i="1" s="1"/>
  <c r="P126" i="1"/>
  <c r="S125" i="1"/>
  <c r="T125" i="1" s="1"/>
  <c r="P125" i="1"/>
  <c r="S124" i="1"/>
  <c r="T124" i="1" s="1"/>
  <c r="P124" i="1"/>
  <c r="S123" i="1"/>
  <c r="T123" i="1" s="1"/>
  <c r="P123" i="1"/>
  <c r="S122" i="1"/>
  <c r="T122" i="1" s="1"/>
  <c r="P122" i="1"/>
  <c r="S121" i="1"/>
  <c r="T121" i="1" s="1"/>
  <c r="P121" i="1"/>
  <c r="S120" i="1"/>
  <c r="T120" i="1" s="1"/>
  <c r="P120" i="1"/>
  <c r="S119" i="1"/>
  <c r="T119" i="1" s="1"/>
  <c r="P119" i="1"/>
  <c r="S118" i="1"/>
  <c r="T118" i="1" s="1"/>
  <c r="P118" i="1"/>
  <c r="S117" i="1"/>
  <c r="T117" i="1" s="1"/>
  <c r="P117" i="1"/>
  <c r="S116" i="1"/>
  <c r="T116" i="1" s="1"/>
  <c r="P116" i="1"/>
  <c r="S115" i="1"/>
  <c r="T115" i="1" s="1"/>
  <c r="P115" i="1"/>
  <c r="S114" i="1"/>
  <c r="T114" i="1" s="1"/>
  <c r="P114" i="1"/>
  <c r="S113" i="1"/>
  <c r="T113" i="1" s="1"/>
  <c r="P113" i="1"/>
  <c r="S112" i="1"/>
  <c r="T112" i="1" s="1"/>
  <c r="P112" i="1"/>
  <c r="S111" i="1"/>
  <c r="T111" i="1" s="1"/>
  <c r="P111" i="1"/>
  <c r="S110" i="1"/>
  <c r="T110" i="1" s="1"/>
  <c r="P110" i="1"/>
  <c r="S109" i="1"/>
  <c r="T109" i="1" s="1"/>
  <c r="P109" i="1"/>
  <c r="S108" i="1"/>
  <c r="T108" i="1" s="1"/>
  <c r="P108" i="1"/>
  <c r="S107" i="1"/>
  <c r="T107" i="1" s="1"/>
  <c r="P107" i="1"/>
  <c r="S106" i="1"/>
  <c r="T106" i="1" s="1"/>
  <c r="P106" i="1"/>
  <c r="S105" i="1"/>
  <c r="T105" i="1" s="1"/>
  <c r="P105" i="1"/>
  <c r="S104" i="1"/>
  <c r="T104" i="1" s="1"/>
  <c r="P104" i="1"/>
  <c r="S103" i="1"/>
  <c r="T103" i="1" s="1"/>
  <c r="P103" i="1"/>
  <c r="S102" i="1"/>
  <c r="T102" i="1" s="1"/>
  <c r="P102" i="1"/>
  <c r="S101" i="1"/>
  <c r="T101" i="1" s="1"/>
  <c r="P101" i="1"/>
  <c r="S100" i="1"/>
  <c r="T100" i="1" s="1"/>
  <c r="P100" i="1"/>
  <c r="S99" i="1"/>
  <c r="T99" i="1" s="1"/>
  <c r="P99" i="1"/>
  <c r="S98" i="1"/>
  <c r="T98" i="1" s="1"/>
  <c r="P98" i="1"/>
  <c r="S97" i="1"/>
  <c r="T97" i="1" s="1"/>
  <c r="P97" i="1"/>
  <c r="S96" i="1"/>
  <c r="T96" i="1" s="1"/>
  <c r="P96" i="1"/>
  <c r="S95" i="1"/>
  <c r="T95" i="1" s="1"/>
  <c r="P95" i="1"/>
  <c r="S94" i="1"/>
  <c r="T94" i="1" s="1"/>
  <c r="P94" i="1"/>
  <c r="S93" i="1"/>
  <c r="T93" i="1" s="1"/>
  <c r="P93" i="1"/>
  <c r="S92" i="1"/>
  <c r="T92" i="1" s="1"/>
  <c r="P92" i="1"/>
  <c r="S91" i="1"/>
  <c r="T91" i="1" s="1"/>
  <c r="P91" i="1"/>
  <c r="S90" i="1"/>
  <c r="T90" i="1" s="1"/>
  <c r="P90" i="1"/>
  <c r="S89" i="1"/>
  <c r="T89" i="1" s="1"/>
  <c r="P89" i="1"/>
  <c r="S88" i="1"/>
  <c r="T88" i="1" s="1"/>
  <c r="P88" i="1"/>
  <c r="S87" i="1"/>
  <c r="T87" i="1" s="1"/>
  <c r="P87" i="1"/>
  <c r="S86" i="1"/>
  <c r="T86" i="1" s="1"/>
  <c r="P86" i="1"/>
  <c r="S85" i="1"/>
  <c r="T85" i="1" s="1"/>
  <c r="P85" i="1"/>
  <c r="S84" i="1"/>
  <c r="T84" i="1" s="1"/>
  <c r="P84" i="1"/>
  <c r="S83" i="1"/>
  <c r="T83" i="1" s="1"/>
  <c r="P83" i="1"/>
  <c r="S82" i="1"/>
  <c r="T82" i="1" s="1"/>
  <c r="P82" i="1"/>
  <c r="S81" i="1"/>
  <c r="T81" i="1" s="1"/>
  <c r="P81" i="1"/>
  <c r="S80" i="1"/>
  <c r="T80" i="1" s="1"/>
  <c r="P80" i="1"/>
  <c r="S79" i="1"/>
  <c r="T79" i="1" s="1"/>
  <c r="P79" i="1"/>
  <c r="S78" i="1"/>
  <c r="T78" i="1" s="1"/>
  <c r="P78" i="1"/>
  <c r="S77" i="1"/>
  <c r="T77" i="1" s="1"/>
  <c r="P77" i="1"/>
  <c r="S76" i="1"/>
  <c r="T76" i="1" s="1"/>
  <c r="P76" i="1"/>
  <c r="S75" i="1"/>
  <c r="T75" i="1" s="1"/>
  <c r="P75" i="1"/>
  <c r="S74" i="1"/>
  <c r="T74" i="1" s="1"/>
  <c r="P74" i="1"/>
  <c r="S73" i="1"/>
  <c r="T73" i="1" s="1"/>
  <c r="P73" i="1"/>
  <c r="S72" i="1"/>
  <c r="T72" i="1" s="1"/>
  <c r="P72" i="1"/>
  <c r="S71" i="1"/>
  <c r="T71" i="1" s="1"/>
  <c r="P71" i="1"/>
  <c r="S70" i="1"/>
  <c r="T70" i="1" s="1"/>
  <c r="P70" i="1"/>
  <c r="S69" i="1"/>
  <c r="T69" i="1" s="1"/>
  <c r="P69" i="1"/>
  <c r="S68" i="1"/>
  <c r="T68" i="1" s="1"/>
  <c r="P68" i="1"/>
  <c r="S67" i="1"/>
  <c r="T67" i="1" s="1"/>
  <c r="P67" i="1"/>
  <c r="S66" i="1"/>
  <c r="T66" i="1" s="1"/>
  <c r="P66" i="1"/>
  <c r="S65" i="1"/>
  <c r="T65" i="1" s="1"/>
  <c r="P65" i="1"/>
  <c r="S64" i="1"/>
  <c r="T64" i="1" s="1"/>
  <c r="P64" i="1"/>
  <c r="S63" i="1"/>
  <c r="T63" i="1" s="1"/>
  <c r="P63" i="1"/>
  <c r="S62" i="1"/>
  <c r="T62" i="1" s="1"/>
  <c r="P62" i="1"/>
  <c r="S61" i="1"/>
  <c r="T61" i="1" s="1"/>
  <c r="P61" i="1"/>
  <c r="S60" i="1"/>
  <c r="T60" i="1" s="1"/>
  <c r="P60" i="1"/>
  <c r="S59" i="1"/>
  <c r="T59" i="1" s="1"/>
  <c r="P59" i="1"/>
  <c r="S58" i="1"/>
  <c r="T58" i="1" s="1"/>
  <c r="P58" i="1"/>
  <c r="S57" i="1"/>
  <c r="T57" i="1" s="1"/>
  <c r="P57" i="1"/>
  <c r="S56" i="1"/>
  <c r="T56" i="1" s="1"/>
  <c r="P56" i="1"/>
  <c r="S55" i="1"/>
  <c r="T55" i="1" s="1"/>
  <c r="P55" i="1"/>
  <c r="S54" i="1"/>
  <c r="T54" i="1" s="1"/>
  <c r="P54" i="1"/>
  <c r="S53" i="1"/>
  <c r="T53" i="1" s="1"/>
  <c r="P53" i="1"/>
  <c r="S52" i="1"/>
  <c r="T52" i="1" s="1"/>
  <c r="P52" i="1"/>
  <c r="S51" i="1"/>
  <c r="T51" i="1" s="1"/>
  <c r="P51" i="1"/>
  <c r="S50" i="1"/>
  <c r="T50" i="1" s="1"/>
  <c r="P50" i="1"/>
  <c r="S49" i="1"/>
  <c r="T49" i="1" s="1"/>
  <c r="P49" i="1"/>
  <c r="S48" i="1"/>
  <c r="T48" i="1" s="1"/>
  <c r="P48" i="1"/>
  <c r="S47" i="1"/>
  <c r="T47" i="1" s="1"/>
  <c r="P47" i="1"/>
  <c r="S46" i="1"/>
  <c r="T46" i="1" s="1"/>
  <c r="P46" i="1"/>
  <c r="S45" i="1"/>
  <c r="T45" i="1" s="1"/>
  <c r="P45" i="1"/>
  <c r="S44" i="1"/>
  <c r="T44" i="1" s="1"/>
  <c r="P44" i="1"/>
  <c r="S43" i="1"/>
  <c r="T43" i="1" s="1"/>
  <c r="P43" i="1"/>
  <c r="S42" i="1"/>
  <c r="T42" i="1" s="1"/>
  <c r="P42" i="1"/>
  <c r="S41" i="1"/>
  <c r="T41" i="1" s="1"/>
  <c r="P41" i="1"/>
  <c r="S40" i="1"/>
  <c r="T40" i="1" s="1"/>
  <c r="P40" i="1"/>
  <c r="S39" i="1"/>
  <c r="T39" i="1" s="1"/>
  <c r="P39" i="1"/>
  <c r="S38" i="1"/>
  <c r="T38" i="1" s="1"/>
  <c r="P38" i="1"/>
  <c r="S37" i="1"/>
  <c r="T37" i="1" s="1"/>
  <c r="P37" i="1"/>
  <c r="S36" i="1"/>
  <c r="T36" i="1" s="1"/>
  <c r="P36" i="1"/>
  <c r="S35" i="1"/>
  <c r="T35" i="1" s="1"/>
  <c r="P35" i="1"/>
  <c r="S34" i="1"/>
  <c r="T34" i="1" s="1"/>
  <c r="P34" i="1"/>
  <c r="S33" i="1"/>
  <c r="T33" i="1" s="1"/>
  <c r="P33" i="1"/>
  <c r="S32" i="1"/>
  <c r="T32" i="1" s="1"/>
  <c r="P32" i="1"/>
  <c r="S31" i="1"/>
  <c r="T31" i="1" s="1"/>
  <c r="P31" i="1"/>
  <c r="S30" i="1"/>
  <c r="T30" i="1" s="1"/>
  <c r="P30" i="1"/>
  <c r="S29" i="1"/>
  <c r="T29" i="1" s="1"/>
  <c r="P29" i="1"/>
  <c r="S28" i="1"/>
  <c r="T28" i="1" s="1"/>
  <c r="P28" i="1"/>
  <c r="S27" i="1"/>
  <c r="T27" i="1" s="1"/>
  <c r="P27" i="1"/>
  <c r="S26" i="1"/>
  <c r="T26" i="1" s="1"/>
  <c r="P26" i="1"/>
  <c r="S25" i="1"/>
  <c r="T25" i="1" s="1"/>
  <c r="P25" i="1"/>
  <c r="S24" i="1"/>
  <c r="T24" i="1" s="1"/>
  <c r="P24" i="1"/>
  <c r="S23" i="1"/>
  <c r="T23" i="1" s="1"/>
  <c r="P23" i="1"/>
  <c r="S22" i="1"/>
  <c r="T22" i="1" s="1"/>
  <c r="P22" i="1"/>
  <c r="S21" i="1"/>
  <c r="T21" i="1" s="1"/>
  <c r="P21" i="1"/>
  <c r="S20" i="1"/>
  <c r="T20" i="1" s="1"/>
  <c r="P20" i="1"/>
  <c r="S19" i="1"/>
  <c r="T19" i="1" s="1"/>
  <c r="P19" i="1"/>
  <c r="S18" i="1"/>
  <c r="T18" i="1" s="1"/>
  <c r="P18" i="1"/>
  <c r="S17" i="1"/>
  <c r="T17" i="1" s="1"/>
  <c r="P17" i="1"/>
  <c r="S16" i="1"/>
  <c r="T16" i="1" s="1"/>
  <c r="P16" i="1"/>
  <c r="S15" i="1"/>
  <c r="T15" i="1" s="1"/>
  <c r="P15" i="1"/>
  <c r="S14" i="1"/>
  <c r="T14" i="1" s="1"/>
  <c r="P14" i="1"/>
  <c r="S13" i="1"/>
  <c r="T13" i="1" s="1"/>
  <c r="P13" i="1"/>
  <c r="S12" i="1"/>
  <c r="T12" i="1" s="1"/>
  <c r="P12" i="1"/>
  <c r="S11" i="1"/>
  <c r="T11" i="1" s="1"/>
  <c r="P11" i="1"/>
  <c r="S10" i="1"/>
  <c r="T10" i="1" s="1"/>
  <c r="P10" i="1"/>
  <c r="S9" i="1"/>
  <c r="T9" i="1" s="1"/>
  <c r="P9" i="1"/>
  <c r="S8" i="1"/>
  <c r="T8" i="1" s="1"/>
  <c r="P8" i="1"/>
  <c r="S7" i="1"/>
  <c r="T7" i="1" s="1"/>
  <c r="P7" i="1"/>
  <c r="S6" i="1"/>
  <c r="T6" i="1" s="1"/>
  <c r="P6" i="1"/>
  <c r="S5" i="1"/>
  <c r="T5" i="1" s="1"/>
  <c r="P5" i="1"/>
  <c r="S4" i="1"/>
  <c r="T4" i="1" s="1"/>
  <c r="P4" i="1"/>
  <c r="S3" i="1"/>
  <c r="T3" i="1" s="1"/>
  <c r="P3" i="1"/>
</calcChain>
</file>

<file path=xl/sharedStrings.xml><?xml version="1.0" encoding="utf-8"?>
<sst xmlns="http://schemas.openxmlformats.org/spreadsheetml/2006/main" count="3869" uniqueCount="493">
  <si>
    <t>ONE DISTRIBUTORS — MASTER ORDER DATA FY2023-24</t>
  </si>
  <si>
    <t>Order ID</t>
  </si>
  <si>
    <t>Order Date</t>
  </si>
  <si>
    <t>Product ID</t>
  </si>
  <si>
    <t>Product Name</t>
  </si>
  <si>
    <t>Product Category</t>
  </si>
  <si>
    <t>Warehouse/DC</t>
  </si>
  <si>
    <t>Customer ID</t>
  </si>
  <si>
    <t>Customer Name</t>
  </si>
  <si>
    <t>Customer Region</t>
  </si>
  <si>
    <t>Customer City</t>
  </si>
  <si>
    <t>Supplier ID</t>
  </si>
  <si>
    <t>Supplier Name</t>
  </si>
  <si>
    <t>Supplier State</t>
  </si>
  <si>
    <t>Quantity Ordered</t>
  </si>
  <si>
    <t>Unit Price (₹)</t>
  </si>
  <si>
    <t>Total Order Value (₹)</t>
  </si>
  <si>
    <t>Promised Delivery Days</t>
  </si>
  <si>
    <t>Actual Delivery Days</t>
  </si>
  <si>
    <t>Delay (Days)</t>
  </si>
  <si>
    <t>On-Time Delivery</t>
  </si>
  <si>
    <t>Stock On Hand (Units)</t>
  </si>
  <si>
    <t>Units Consumed (Period)</t>
  </si>
  <si>
    <t>Reorder Point</t>
  </si>
  <si>
    <t>Holding Cost/Unit (₹/day)</t>
  </si>
  <si>
    <t>Supplier Lead Time (days)</t>
  </si>
  <si>
    <t>Unit Cost (₹)</t>
  </si>
  <si>
    <t>Freight Cost (₹)</t>
  </si>
  <si>
    <t>Supplier Reliability Score</t>
  </si>
  <si>
    <t>ORD-0001</t>
  </si>
  <si>
    <t>PRD-019</t>
  </si>
  <si>
    <t>Gearbox Assembly</t>
  </si>
  <si>
    <t>Mechanical</t>
  </si>
  <si>
    <t>DC-HYD</t>
  </si>
  <si>
    <t>CUST-013</t>
  </si>
  <si>
    <t>Hindustan Motors</t>
  </si>
  <si>
    <t>East</t>
  </si>
  <si>
    <t>Kolkata</t>
  </si>
  <si>
    <t>SUP-008</t>
  </si>
  <si>
    <t>Delhi Auto Components</t>
  </si>
  <si>
    <t>Uttar Pradesh</t>
  </si>
  <si>
    <t>ORD-0002</t>
  </si>
  <si>
    <t>PRD-012</t>
  </si>
  <si>
    <t>Oil Filter</t>
  </si>
  <si>
    <t>DC-BLR</t>
  </si>
  <si>
    <t>CUST-025</t>
  </si>
  <si>
    <t>Wirtgen India</t>
  </si>
  <si>
    <t>West</t>
  </si>
  <si>
    <t>Pune</t>
  </si>
  <si>
    <t>SUP-006</t>
  </si>
  <si>
    <t>Pune Precision</t>
  </si>
  <si>
    <t>Maharashtra</t>
  </si>
  <si>
    <t>ORD-0003</t>
  </si>
  <si>
    <t>PRD-003</t>
  </si>
  <si>
    <t>V-Belt Set</t>
  </si>
  <si>
    <t>DC-CHN</t>
  </si>
  <si>
    <t>CUST-022</t>
  </si>
  <si>
    <t>Komatsu India</t>
  </si>
  <si>
    <t>South</t>
  </si>
  <si>
    <t>Chennai</t>
  </si>
  <si>
    <t>SUP-002</t>
  </si>
  <si>
    <t>TN Parts Pvt. Ltd.</t>
  </si>
  <si>
    <t>Tamil Nadu</t>
  </si>
  <si>
    <t>ORD-0004</t>
  </si>
  <si>
    <t>PRD-018</t>
  </si>
  <si>
    <t>Rivet Set</t>
  </si>
  <si>
    <t>Fasteners</t>
  </si>
  <si>
    <t>CUST-030</t>
  </si>
  <si>
    <t>XCMG India</t>
  </si>
  <si>
    <t>Hyderabad</t>
  </si>
  <si>
    <t>SUP-003</t>
  </si>
  <si>
    <t>GujFab Ltd.</t>
  </si>
  <si>
    <t>Gujarat</t>
  </si>
  <si>
    <t>ORD-0005</t>
  </si>
  <si>
    <t>PRD-005</t>
  </si>
  <si>
    <t>Welding Gloves</t>
  </si>
  <si>
    <t>Safety</t>
  </si>
  <si>
    <t>CUST-011</t>
  </si>
  <si>
    <t>Godrej Industries</t>
  </si>
  <si>
    <t>Mumbai</t>
  </si>
  <si>
    <t>SUP-005</t>
  </si>
  <si>
    <t>UP Electricals</t>
  </si>
  <si>
    <t>ORD-0006</t>
  </si>
  <si>
    <t>CUST-009</t>
  </si>
  <si>
    <t>Vedanta Resources</t>
  </si>
  <si>
    <t>Ahmedabad</t>
  </si>
  <si>
    <t>ORD-0007</t>
  </si>
  <si>
    <t>PRD-001</t>
  </si>
  <si>
    <t>Hydraulic Pump</t>
  </si>
  <si>
    <t>Hydraulics</t>
  </si>
  <si>
    <t>CUST-018</t>
  </si>
  <si>
    <t>TVS Motor</t>
  </si>
  <si>
    <t>Bengaluru</t>
  </si>
  <si>
    <t>SUP-004</t>
  </si>
  <si>
    <t>RajMetals Corp</t>
  </si>
  <si>
    <t>Rajasthan</t>
  </si>
  <si>
    <t>ORD-0008</t>
  </si>
  <si>
    <t>SUP-001</t>
  </si>
  <si>
    <t>MahaComp Industries</t>
  </si>
  <si>
    <t>ORD-0009</t>
  </si>
  <si>
    <t>PRD-004</t>
  </si>
  <si>
    <t>Safety Helmet</t>
  </si>
  <si>
    <t>DC-DEL</t>
  </si>
  <si>
    <t>CUST-014</t>
  </si>
  <si>
    <t>Mahindra &amp; Mahindra</t>
  </si>
  <si>
    <t>ORD-0010</t>
  </si>
  <si>
    <t>PRD-015</t>
  </si>
  <si>
    <t>Safety Boots</t>
  </si>
  <si>
    <t>ORD-0011</t>
  </si>
  <si>
    <t>PRD-013</t>
  </si>
  <si>
    <t>Chain Sprocket</t>
  </si>
  <si>
    <t>CUST-027</t>
  </si>
  <si>
    <t>Putzmeister</t>
  </si>
  <si>
    <t>ORD-0012</t>
  </si>
  <si>
    <t>PRD-011</t>
  </si>
  <si>
    <t>Cable Harness</t>
  </si>
  <si>
    <t>Electrical</t>
  </si>
  <si>
    <t>DC-MUM</t>
  </si>
  <si>
    <t>ORD-0013</t>
  </si>
  <si>
    <t>CUST-006</t>
  </si>
  <si>
    <t>BHEL Trichy</t>
  </si>
  <si>
    <t>ORD-0014</t>
  </si>
  <si>
    <t>PRD-006</t>
  </si>
  <si>
    <t>Hydraulic Hose</t>
  </si>
  <si>
    <t>CUST-023</t>
  </si>
  <si>
    <t>Volvo Eicher</t>
  </si>
  <si>
    <t>North</t>
  </si>
  <si>
    <t>Delhi</t>
  </si>
  <si>
    <t>ORD-0015</t>
  </si>
  <si>
    <t>CUST-021</t>
  </si>
  <si>
    <t>Caterpillar India</t>
  </si>
  <si>
    <t>ORD-0016</t>
  </si>
  <si>
    <t>ORD-0017</t>
  </si>
  <si>
    <t>ORD-0018</t>
  </si>
  <si>
    <t>CUST-024</t>
  </si>
  <si>
    <t>Schwing Stetter</t>
  </si>
  <si>
    <t>ORD-0019</t>
  </si>
  <si>
    <t>ORD-0020</t>
  </si>
  <si>
    <t>CUST-029</t>
  </si>
  <si>
    <t>Sany India</t>
  </si>
  <si>
    <t>ORD-0021</t>
  </si>
  <si>
    <t>CUST-004</t>
  </si>
  <si>
    <t>Thermax Ltd.</t>
  </si>
  <si>
    <t>ORD-0022</t>
  </si>
  <si>
    <t>PRD-020</t>
  </si>
  <si>
    <t>Dust Mask N95</t>
  </si>
  <si>
    <t>ORD-0023</t>
  </si>
  <si>
    <t>CUST-017</t>
  </si>
  <si>
    <t>Hyundai India</t>
  </si>
  <si>
    <t>ORD-0024</t>
  </si>
  <si>
    <t>PRD-008</t>
  </si>
  <si>
    <t>Fastener Bolt M16</t>
  </si>
  <si>
    <t>ORD-0025</t>
  </si>
  <si>
    <t>ORD-0026</t>
  </si>
  <si>
    <t>ORD-0027</t>
  </si>
  <si>
    <t>CUST-019</t>
  </si>
  <si>
    <t>Suzuki Powertrain</t>
  </si>
  <si>
    <t>ORD-0028</t>
  </si>
  <si>
    <t>PRD-007</t>
  </si>
  <si>
    <t>Pneumatic Valve</t>
  </si>
  <si>
    <t>CUST-026</t>
  </si>
  <si>
    <t>Liebherr India</t>
  </si>
  <si>
    <t>ORD-0029</t>
  </si>
  <si>
    <t>ORD-0030</t>
  </si>
  <si>
    <t>CUST-003</t>
  </si>
  <si>
    <t>Kirloskar Brothers</t>
  </si>
  <si>
    <t>ORD-0031</t>
  </si>
  <si>
    <t>CUST-015</t>
  </si>
  <si>
    <t>Bajaj Auto</t>
  </si>
  <si>
    <t>ORD-0032</t>
  </si>
  <si>
    <t>PRD-010</t>
  </si>
  <si>
    <t>Electrical Relay</t>
  </si>
  <si>
    <t>ORD-0033</t>
  </si>
  <si>
    <t>ORD-0034</t>
  </si>
  <si>
    <t>ORD-0035</t>
  </si>
  <si>
    <t>ORD-0036</t>
  </si>
  <si>
    <t>PRD-017</t>
  </si>
  <si>
    <t>Cylinder Seal Kit</t>
  </si>
  <si>
    <t>SUP-007</t>
  </si>
  <si>
    <t>Chennai Hydraulics</t>
  </si>
  <si>
    <t>ORD-0037</t>
  </si>
  <si>
    <t>CUST-020</t>
  </si>
  <si>
    <t>Escorts Kubota</t>
  </si>
  <si>
    <t>ORD-0038</t>
  </si>
  <si>
    <t>ORD-0039</t>
  </si>
  <si>
    <t>ORD-0040</t>
  </si>
  <si>
    <t>CUST-012</t>
  </si>
  <si>
    <t>Bharat Forge</t>
  </si>
  <si>
    <t>ORD-0041</t>
  </si>
  <si>
    <t>ORD-0042</t>
  </si>
  <si>
    <t>ORD-0043</t>
  </si>
  <si>
    <t>ORD-0044</t>
  </si>
  <si>
    <t>CUST-001</t>
  </si>
  <si>
    <t>Tata Projects Ltd.</t>
  </si>
  <si>
    <t>ORD-0045</t>
  </si>
  <si>
    <t>PRD-016</t>
  </si>
  <si>
    <t>LED Work Light</t>
  </si>
  <si>
    <t>ORD-0046</t>
  </si>
  <si>
    <t>ORD-0047</t>
  </si>
  <si>
    <t>ORD-0048</t>
  </si>
  <si>
    <t>ORD-0049</t>
  </si>
  <si>
    <t>CUST-008</t>
  </si>
  <si>
    <t>Jindal Steel</t>
  </si>
  <si>
    <t>Central</t>
  </si>
  <si>
    <t>ORD-0050</t>
  </si>
  <si>
    <t>ORD-0051</t>
  </si>
  <si>
    <t>CUST-016</t>
  </si>
  <si>
    <t>Maruti Suzuki</t>
  </si>
  <si>
    <t>ORD-0052</t>
  </si>
  <si>
    <t>ORD-0053</t>
  </si>
  <si>
    <t>PRD-009</t>
  </si>
  <si>
    <t>Fastener Nut M16</t>
  </si>
  <si>
    <t>ORD-0054</t>
  </si>
  <si>
    <t>ORD-0055</t>
  </si>
  <si>
    <t>ORD-0056</t>
  </si>
  <si>
    <t>ORD-0057</t>
  </si>
  <si>
    <t>ORD-0058</t>
  </si>
  <si>
    <t>ORD-0059</t>
  </si>
  <si>
    <t>CUST-002</t>
  </si>
  <si>
    <t>L&amp;T Construction</t>
  </si>
  <si>
    <t>ORD-0060</t>
  </si>
  <si>
    <t>ORD-0061</t>
  </si>
  <si>
    <t>ORD-0062</t>
  </si>
  <si>
    <t>PRD-002</t>
  </si>
  <si>
    <t>Ball Bearing SKF</t>
  </si>
  <si>
    <t>CUST-007</t>
  </si>
  <si>
    <t>SAIL Rourkela</t>
  </si>
  <si>
    <t>ORD-0063</t>
  </si>
  <si>
    <t>ORD-0064</t>
  </si>
  <si>
    <t>ORD-0065</t>
  </si>
  <si>
    <t>PRD-014</t>
  </si>
  <si>
    <t>Pressure Gauge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</si>
  <si>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</si>
  <si>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</si>
  <si>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</si>
  <si>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</si>
  <si>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</si>
  <si>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</si>
  <si>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</si>
  <si>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</si>
  <si>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CUST-028</t>
  </si>
  <si>
    <t>ACE Cranes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</si>
  <si>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</si>
  <si>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</si>
  <si>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</si>
  <si>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</si>
  <si>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</si>
  <si>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</si>
  <si>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</si>
  <si>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</si>
  <si>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</si>
  <si>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</si>
  <si>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</si>
  <si>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</si>
  <si>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CUST-005</t>
  </si>
  <si>
    <t>Ashok Leyland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</si>
  <si>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</si>
  <si>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</si>
  <si>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</si>
  <si>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</si>
  <si>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</si>
  <si>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</si>
  <si>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</si>
  <si>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</si>
  <si>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</si>
  <si>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</si>
  <si>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</si>
  <si>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</si>
  <si>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</si>
  <si>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</si>
  <si>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</si>
  <si>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</si>
  <si>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</si>
  <si>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</si>
  <si>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</si>
  <si>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</si>
  <si>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</si>
  <si>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</si>
  <si>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</si>
  <si>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</si>
  <si>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</si>
  <si>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</si>
  <si>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</si>
  <si>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</si>
  <si>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</si>
  <si>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</si>
  <si>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</si>
  <si>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</si>
  <si>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</si>
  <si>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</si>
  <si>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</si>
  <si>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</si>
  <si>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</si>
  <si>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</si>
  <si>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</si>
  <si>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</si>
  <si>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</si>
  <si>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</si>
  <si>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</si>
  <si>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</si>
  <si>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CUST-010</t>
  </si>
  <si>
    <t>Adani Ports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</si>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</sst>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DC3545"/>
          <bgColor rgb="FFDC3545"/>
        </patternFill>
      </fill>
    </dxf>
    <dxf>
      <fill>
        <patternFill patternType="solid">
          <fgColor rgb="FF28A745"/>
          <bgColor rgb="FF28A745"/>
        </patternFill>
      </fill>
    </dxf>
    <dxf>
      <fill>
        <patternFill patternType="solid">
          <fgColor rgb="FFDC3545"/>
          <bgColor rgb="FFDC3545"/>
        </patternFill>
      </fill>
    </dxf>
    <dxf>
      <fill>
        <patternFill patternType="solid">
          <fgColor rgb="FFFFC107"/>
          <bgColor rgb="FFFFC107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789EC-9534-4E57-A1ED-08A4D1CCD205}" name="Table2" displayName="Table2" ref="A2:AB322" totalsRowShown="0">
  <autoFilter ref="A2:AB322" xr:uid="{4E1789EC-9534-4E57-A1ED-08A4D1CCD205}"/>
  <tableColumns count="28">
    <tableColumn id="1" xr3:uid="{0FEB1316-49EC-42DE-B548-D7901CE79704}" name="Order ID"/>
    <tableColumn id="2" xr3:uid="{4191DBB4-7D74-4EE1-B124-D9C47F3FE185}" name="Order Date"/>
    <tableColumn id="3" xr3:uid="{3D7EEC98-E6FB-4A5B-9189-D412C182D861}" name="Product ID"/>
    <tableColumn id="4" xr3:uid="{DC487D6B-F324-467F-A76B-5A0BAF7C80CE}" name="Product Name"/>
    <tableColumn id="5" xr3:uid="{9B51FCB8-40E7-497A-8AD6-DB4E48E2B422}" name="Product Category"/>
    <tableColumn id="6" xr3:uid="{568225AD-B21C-4E3E-A924-845E4D9E4B53}" name="Warehouse/DC"/>
    <tableColumn id="7" xr3:uid="{64098DC2-3936-43EF-BA67-73F6CEFFBAEB}" name="Customer ID"/>
    <tableColumn id="8" xr3:uid="{7E35EA98-D39E-44E6-BAB0-261935499362}" name="Customer Name"/>
    <tableColumn id="9" xr3:uid="{EC7AB103-A683-4182-BC58-64A6CF9C3FA3}" name="Customer Region"/>
    <tableColumn id="10" xr3:uid="{C8A27C99-7151-4BD2-9E1B-44D7BBF8DC33}" name="Customer City"/>
    <tableColumn id="11" xr3:uid="{723199B4-BAB9-4B22-8F47-FAFD320C10E3}" name="Supplier ID"/>
    <tableColumn id="12" xr3:uid="{8E6D9184-97F4-4D00-BE15-7FB83592D303}" name="Supplier Name"/>
    <tableColumn id="13" xr3:uid="{0B41D23F-2C14-4951-A053-320FA1A456DE}" name="Supplier State"/>
    <tableColumn id="14" xr3:uid="{96E4C10A-7090-4D57-84EC-111CDE330687}" name="Quantity Ordered"/>
    <tableColumn id="15" xr3:uid="{20A7AC9E-2D4B-44F7-9602-495C62AC3BB2}" name="Unit Price (₹)"/>
    <tableColumn id="16" xr3:uid="{E98FED3C-4BEB-4A81-8124-2BCB4D2F0F51}" name="Total Order Value (₹)">
      <calculatedColumnFormula>N3*O3</calculatedColumnFormula>
    </tableColumn>
    <tableColumn id="17" xr3:uid="{ACEFF725-5AE4-4B5C-9AD3-8BB979CB2D1B}" name="Promised Delivery Days"/>
    <tableColumn id="18" xr3:uid="{734558FF-2CF6-42E3-9312-53D11EAF6914}" name="Actual Delivery Days"/>
    <tableColumn id="19" xr3:uid="{DC2F9A27-7FCB-4BE5-95CA-8045A51AD389}" name="Delay (Days)">
      <calculatedColumnFormula>MAX(0,R3-Q3)</calculatedColumnFormula>
    </tableColumn>
    <tableColumn id="20" xr3:uid="{C6CF1C11-CC67-494C-B52E-B32ECCE6A669}" name="On-Time Delivery">
      <calculatedColumnFormula>IF(S3=0,"Yes","No")</calculatedColumnFormula>
    </tableColumn>
    <tableColumn id="21" xr3:uid="{5600F510-030D-4AD5-8AD6-5A9D54651945}" name="Stock On Hand (Units)"/>
    <tableColumn id="22" xr3:uid="{C6C1C3AF-E0F3-4472-946F-1DBC9DC86852}" name="Units Consumed (Period)"/>
    <tableColumn id="23" xr3:uid="{96323AD3-BD28-4620-8E43-7049238EEA1E}" name="Reorder Point"/>
    <tableColumn id="24" xr3:uid="{E40BC3C8-D5D3-4221-A3FD-2CA666BBBC51}" name="Holding Cost/Unit (₹/day)"/>
    <tableColumn id="25" xr3:uid="{7E0F44A6-00E7-443B-BF81-8EA0DCBE688E}" name="Supplier Lead Time (days)"/>
    <tableColumn id="26" xr3:uid="{FD46DB6E-3D07-45A7-885D-49508313B1FD}" name="Unit Cost (₹)"/>
    <tableColumn id="27" xr3:uid="{331DEF82-601C-470F-A9AB-5539A422D771}" name="Freight Cost (₹)"/>
    <tableColumn id="28" xr3:uid="{DFFF3099-9326-4116-B9E3-4E2C0B2C4DC7}" name="Supplier Reliability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95A7-BA5A-4BEC-8F18-3B69DA7153E6}">
  <dimension ref="A1:AB322"/>
  <sheetViews>
    <sheetView tabSelected="1" topLeftCell="A13" zoomScale="70" zoomScaleNormal="70" workbookViewId="0">
      <selection activeCell="G5" sqref="G5"/>
    </sheetView>
  </sheetViews>
  <sheetFormatPr defaultRowHeight="14.4" x14ac:dyDescent="0.3"/>
  <cols>
    <col min="1" max="1" width="9.88671875" customWidth="1"/>
    <col min="2" max="2" width="12" customWidth="1"/>
    <col min="3" max="3" width="11.77734375" customWidth="1"/>
    <col min="4" max="4" width="15" customWidth="1"/>
    <col min="5" max="5" width="17.5546875" customWidth="1"/>
    <col min="6" max="6" width="15.6640625" customWidth="1"/>
    <col min="7" max="7" width="13.21875" customWidth="1"/>
    <col min="8" max="8" width="16.44140625" customWidth="1"/>
    <col min="9" max="9" width="17.21875" customWidth="1"/>
    <col min="10" max="10" width="14.6640625" customWidth="1"/>
    <col min="11" max="11" width="12" customWidth="1"/>
    <col min="12" max="12" width="15.21875" customWidth="1"/>
    <col min="13" max="13" width="14.5546875" customWidth="1"/>
    <col min="14" max="14" width="17.5546875" customWidth="1"/>
    <col min="15" max="15" width="13.77734375" customWidth="1"/>
    <col min="16" max="16" width="20.33203125" customWidth="1"/>
    <col min="17" max="17" width="22.44140625" customWidth="1"/>
    <col min="18" max="18" width="19.88671875" customWidth="1"/>
    <col min="19" max="19" width="13.33203125" customWidth="1"/>
    <col min="20" max="20" width="17.33203125" customWidth="1"/>
    <col min="21" max="21" width="21.44140625" customWidth="1"/>
    <col min="22" max="22" width="23.88671875" customWidth="1"/>
    <col min="23" max="23" width="14.44140625" customWidth="1"/>
    <col min="24" max="24" width="24.6640625" customWidth="1"/>
    <col min="25" max="25" width="24.44140625" customWidth="1"/>
    <col min="26" max="26" width="13.33203125" customWidth="1"/>
    <col min="27" max="27" width="15.5546875" customWidth="1"/>
    <col min="28" max="28" width="23.44140625" customWidth="1"/>
  </cols>
  <sheetData>
    <row r="1" spans="1:28" x14ac:dyDescent="0.3">
      <c r="F1" s="1" t="s">
        <v>0</v>
      </c>
      <c r="G1" s="1"/>
      <c r="H1" s="1"/>
      <c r="I1" s="1"/>
    </row>
    <row r="2" spans="1:2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 x14ac:dyDescent="0.3">
      <c r="A3" t="s">
        <v>29</v>
      </c>
      <c r="B3">
        <v>44932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>
        <v>570</v>
      </c>
      <c r="O3">
        <v>14209.31</v>
      </c>
      <c r="P3">
        <f t="shared" ref="P3:P257" si="0">N3*O3</f>
        <v>8099306.6999999993</v>
      </c>
      <c r="Q3">
        <v>14</v>
      </c>
      <c r="R3">
        <v>15</v>
      </c>
      <c r="S3">
        <f>MAX(0,R3-Q3)</f>
        <v>1</v>
      </c>
      <c r="T3" t="str">
        <f t="shared" ref="T3:T257" si="1">IF(S3=0,"Yes","No")</f>
        <v>No</v>
      </c>
      <c r="U3">
        <v>2993</v>
      </c>
      <c r="V3">
        <v>406</v>
      </c>
      <c r="W3">
        <v>442</v>
      </c>
      <c r="X3">
        <v>25</v>
      </c>
      <c r="Y3">
        <v>35</v>
      </c>
      <c r="Z3">
        <v>10361.23</v>
      </c>
      <c r="AA3">
        <v>4698</v>
      </c>
      <c r="AB3">
        <v>0.74</v>
      </c>
    </row>
    <row r="4" spans="1:28" x14ac:dyDescent="0.3">
      <c r="A4" t="s">
        <v>41</v>
      </c>
      <c r="B4">
        <v>44933</v>
      </c>
      <c r="C4" t="s">
        <v>42</v>
      </c>
      <c r="D4" t="s">
        <v>43</v>
      </c>
      <c r="E4" t="s">
        <v>32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>
        <v>883</v>
      </c>
      <c r="O4">
        <v>729.89</v>
      </c>
      <c r="P4">
        <f t="shared" si="0"/>
        <v>644492.87</v>
      </c>
      <c r="Q4">
        <v>18</v>
      </c>
      <c r="R4">
        <v>24</v>
      </c>
      <c r="S4">
        <f t="shared" ref="S4:S258" si="2">MAX(0,R4-Q4)</f>
        <v>6</v>
      </c>
      <c r="T4" t="str">
        <f t="shared" si="1"/>
        <v>No</v>
      </c>
      <c r="U4">
        <v>2256</v>
      </c>
      <c r="V4">
        <v>1112</v>
      </c>
      <c r="W4">
        <v>1588</v>
      </c>
      <c r="X4">
        <v>3.5</v>
      </c>
      <c r="Y4">
        <v>5</v>
      </c>
      <c r="Z4">
        <v>509.21</v>
      </c>
      <c r="AA4">
        <v>2735</v>
      </c>
      <c r="AB4">
        <v>0.82</v>
      </c>
    </row>
    <row r="5" spans="1:28" x14ac:dyDescent="0.3">
      <c r="A5" t="s">
        <v>52</v>
      </c>
      <c r="B5">
        <v>44934</v>
      </c>
      <c r="C5" t="s">
        <v>53</v>
      </c>
      <c r="D5" t="s">
        <v>54</v>
      </c>
      <c r="E5" t="s">
        <v>32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>
        <v>895</v>
      </c>
      <c r="O5">
        <v>482.11</v>
      </c>
      <c r="P5">
        <f t="shared" si="0"/>
        <v>431488.45</v>
      </c>
      <c r="Q5">
        <v>8</v>
      </c>
      <c r="R5">
        <v>9</v>
      </c>
      <c r="S5">
        <f t="shared" si="2"/>
        <v>1</v>
      </c>
      <c r="T5" t="str">
        <f t="shared" si="1"/>
        <v>No</v>
      </c>
      <c r="U5">
        <v>2222</v>
      </c>
      <c r="V5">
        <v>1158</v>
      </c>
      <c r="W5">
        <v>1638</v>
      </c>
      <c r="X5">
        <v>3</v>
      </c>
      <c r="Y5">
        <v>5</v>
      </c>
      <c r="Z5">
        <v>360.75</v>
      </c>
      <c r="AA5">
        <v>4065</v>
      </c>
      <c r="AB5">
        <v>0.88</v>
      </c>
    </row>
    <row r="6" spans="1:28" x14ac:dyDescent="0.3">
      <c r="A6" t="s">
        <v>63</v>
      </c>
      <c r="B6">
        <v>44935</v>
      </c>
      <c r="C6" t="s">
        <v>64</v>
      </c>
      <c r="D6" t="s">
        <v>65</v>
      </c>
      <c r="E6" t="s">
        <v>66</v>
      </c>
      <c r="F6" t="s">
        <v>44</v>
      </c>
      <c r="G6" t="s">
        <v>67</v>
      </c>
      <c r="H6" t="s">
        <v>68</v>
      </c>
      <c r="I6" t="s">
        <v>58</v>
      </c>
      <c r="J6" t="s">
        <v>69</v>
      </c>
      <c r="K6" t="s">
        <v>70</v>
      </c>
      <c r="L6" t="s">
        <v>71</v>
      </c>
      <c r="M6" t="s">
        <v>72</v>
      </c>
      <c r="N6">
        <v>971</v>
      </c>
      <c r="O6">
        <v>95.16</v>
      </c>
      <c r="P6">
        <f t="shared" si="0"/>
        <v>92400.36</v>
      </c>
      <c r="Q6">
        <v>13</v>
      </c>
      <c r="R6">
        <v>12</v>
      </c>
      <c r="S6">
        <f t="shared" si="2"/>
        <v>0</v>
      </c>
      <c r="T6" t="str">
        <f t="shared" si="1"/>
        <v>Yes</v>
      </c>
      <c r="U6">
        <v>458</v>
      </c>
      <c r="V6">
        <v>1156</v>
      </c>
      <c r="W6">
        <v>1050</v>
      </c>
      <c r="X6">
        <v>2</v>
      </c>
      <c r="Y6">
        <v>3</v>
      </c>
      <c r="Z6">
        <v>62.46</v>
      </c>
      <c r="AA6">
        <v>2225</v>
      </c>
      <c r="AB6">
        <v>0.9</v>
      </c>
    </row>
    <row r="7" spans="1:28" x14ac:dyDescent="0.3">
      <c r="A7" t="s">
        <v>73</v>
      </c>
      <c r="B7">
        <v>44936</v>
      </c>
      <c r="C7" t="s">
        <v>74</v>
      </c>
      <c r="D7" t="s">
        <v>75</v>
      </c>
      <c r="E7" t="s">
        <v>76</v>
      </c>
      <c r="F7" t="s">
        <v>55</v>
      </c>
      <c r="G7" t="s">
        <v>77</v>
      </c>
      <c r="H7" t="s">
        <v>78</v>
      </c>
      <c r="I7" t="s">
        <v>47</v>
      </c>
      <c r="J7" t="s">
        <v>79</v>
      </c>
      <c r="K7" t="s">
        <v>80</v>
      </c>
      <c r="L7" t="s">
        <v>81</v>
      </c>
      <c r="M7" t="s">
        <v>40</v>
      </c>
      <c r="N7">
        <v>925</v>
      </c>
      <c r="O7">
        <v>323.02</v>
      </c>
      <c r="P7">
        <f t="shared" si="0"/>
        <v>298793.5</v>
      </c>
      <c r="Q7">
        <v>24</v>
      </c>
      <c r="R7">
        <v>26</v>
      </c>
      <c r="S7">
        <f t="shared" si="2"/>
        <v>2</v>
      </c>
      <c r="T7" t="str">
        <f t="shared" si="1"/>
        <v>No</v>
      </c>
      <c r="U7">
        <v>400</v>
      </c>
      <c r="V7">
        <v>691</v>
      </c>
      <c r="W7">
        <v>718</v>
      </c>
      <c r="X7">
        <v>2</v>
      </c>
      <c r="Y7">
        <v>4</v>
      </c>
      <c r="Z7">
        <v>201.16</v>
      </c>
      <c r="AA7">
        <v>3778</v>
      </c>
      <c r="AB7">
        <v>0.97</v>
      </c>
    </row>
    <row r="8" spans="1:28" x14ac:dyDescent="0.3">
      <c r="A8" t="s">
        <v>82</v>
      </c>
      <c r="B8">
        <v>44941</v>
      </c>
      <c r="C8" t="s">
        <v>64</v>
      </c>
      <c r="D8" t="s">
        <v>65</v>
      </c>
      <c r="E8" t="s">
        <v>66</v>
      </c>
      <c r="F8" t="s">
        <v>55</v>
      </c>
      <c r="G8" t="s">
        <v>83</v>
      </c>
      <c r="H8" t="s">
        <v>84</v>
      </c>
      <c r="I8" t="s">
        <v>47</v>
      </c>
      <c r="J8" t="s">
        <v>85</v>
      </c>
      <c r="K8" t="s">
        <v>70</v>
      </c>
      <c r="L8" t="s">
        <v>71</v>
      </c>
      <c r="M8" t="s">
        <v>72</v>
      </c>
      <c r="N8">
        <v>65</v>
      </c>
      <c r="O8">
        <v>88.26</v>
      </c>
      <c r="P8">
        <f t="shared" si="0"/>
        <v>5736.9000000000005</v>
      </c>
      <c r="Q8">
        <v>27</v>
      </c>
      <c r="R8">
        <v>27</v>
      </c>
      <c r="S8">
        <f t="shared" si="2"/>
        <v>0</v>
      </c>
      <c r="T8" t="str">
        <f t="shared" si="1"/>
        <v>Yes</v>
      </c>
      <c r="U8">
        <v>2632</v>
      </c>
      <c r="V8">
        <v>87</v>
      </c>
      <c r="W8">
        <v>99</v>
      </c>
      <c r="X8">
        <v>2</v>
      </c>
      <c r="Y8">
        <v>3</v>
      </c>
      <c r="Z8">
        <v>68.36</v>
      </c>
      <c r="AA8">
        <v>5202</v>
      </c>
      <c r="AB8">
        <v>0.78</v>
      </c>
    </row>
    <row r="9" spans="1:28" x14ac:dyDescent="0.3">
      <c r="A9" t="s">
        <v>86</v>
      </c>
      <c r="B9">
        <v>44943</v>
      </c>
      <c r="C9" t="s">
        <v>87</v>
      </c>
      <c r="D9" t="s">
        <v>88</v>
      </c>
      <c r="E9" t="s">
        <v>89</v>
      </c>
      <c r="F9" t="s">
        <v>33</v>
      </c>
      <c r="G9" t="s">
        <v>90</v>
      </c>
      <c r="H9" t="s">
        <v>91</v>
      </c>
      <c r="I9" t="s">
        <v>58</v>
      </c>
      <c r="J9" t="s">
        <v>92</v>
      </c>
      <c r="K9" t="s">
        <v>93</v>
      </c>
      <c r="L9" t="s">
        <v>94</v>
      </c>
      <c r="M9" t="s">
        <v>95</v>
      </c>
      <c r="N9">
        <v>22</v>
      </c>
      <c r="O9">
        <v>7685.54</v>
      </c>
      <c r="P9">
        <f t="shared" si="0"/>
        <v>169081.88</v>
      </c>
      <c r="Q9">
        <v>28</v>
      </c>
      <c r="R9">
        <v>30</v>
      </c>
      <c r="S9">
        <f t="shared" si="2"/>
        <v>2</v>
      </c>
      <c r="T9" t="str">
        <f t="shared" si="1"/>
        <v>No</v>
      </c>
      <c r="U9">
        <v>2214</v>
      </c>
      <c r="V9">
        <v>32</v>
      </c>
      <c r="W9">
        <v>25</v>
      </c>
      <c r="X9">
        <v>18</v>
      </c>
      <c r="Y9">
        <v>25</v>
      </c>
      <c r="Z9">
        <v>5861.24</v>
      </c>
      <c r="AA9">
        <v>6021</v>
      </c>
      <c r="AB9">
        <v>0.82</v>
      </c>
    </row>
    <row r="10" spans="1:28" x14ac:dyDescent="0.3">
      <c r="A10" t="s">
        <v>96</v>
      </c>
      <c r="B10">
        <v>44944</v>
      </c>
      <c r="C10" t="s">
        <v>42</v>
      </c>
      <c r="D10" t="s">
        <v>43</v>
      </c>
      <c r="E10" t="s">
        <v>32</v>
      </c>
      <c r="F10" t="s">
        <v>44</v>
      </c>
      <c r="G10" t="s">
        <v>56</v>
      </c>
      <c r="H10" t="s">
        <v>57</v>
      </c>
      <c r="I10" t="s">
        <v>58</v>
      </c>
      <c r="J10" t="s">
        <v>59</v>
      </c>
      <c r="K10" t="s">
        <v>97</v>
      </c>
      <c r="L10" t="s">
        <v>98</v>
      </c>
      <c r="M10" t="s">
        <v>51</v>
      </c>
      <c r="N10">
        <v>436</v>
      </c>
      <c r="O10">
        <v>679.85</v>
      </c>
      <c r="P10">
        <f t="shared" si="0"/>
        <v>296414.60000000003</v>
      </c>
      <c r="Q10">
        <v>30</v>
      </c>
      <c r="R10">
        <v>38</v>
      </c>
      <c r="S10">
        <f t="shared" si="2"/>
        <v>8</v>
      </c>
      <c r="T10" t="str">
        <f t="shared" si="1"/>
        <v>No</v>
      </c>
      <c r="U10">
        <v>129</v>
      </c>
      <c r="V10">
        <v>443</v>
      </c>
      <c r="W10">
        <v>436</v>
      </c>
      <c r="X10">
        <v>3.5</v>
      </c>
      <c r="Y10">
        <v>5</v>
      </c>
      <c r="Z10">
        <v>497.05</v>
      </c>
      <c r="AA10">
        <v>6858</v>
      </c>
      <c r="AB10">
        <v>0.86</v>
      </c>
    </row>
    <row r="11" spans="1:28" x14ac:dyDescent="0.3">
      <c r="A11" t="s">
        <v>99</v>
      </c>
      <c r="B11">
        <v>44945</v>
      </c>
      <c r="C11" t="s">
        <v>100</v>
      </c>
      <c r="D11" t="s">
        <v>101</v>
      </c>
      <c r="E11" t="s">
        <v>76</v>
      </c>
      <c r="F11" t="s">
        <v>102</v>
      </c>
      <c r="G11" t="s">
        <v>103</v>
      </c>
      <c r="H11" t="s">
        <v>104</v>
      </c>
      <c r="I11" t="s">
        <v>47</v>
      </c>
      <c r="J11" t="s">
        <v>79</v>
      </c>
      <c r="K11" t="s">
        <v>70</v>
      </c>
      <c r="L11" t="s">
        <v>71</v>
      </c>
      <c r="M11" t="s">
        <v>72</v>
      </c>
      <c r="N11">
        <v>580</v>
      </c>
      <c r="O11">
        <v>881.68</v>
      </c>
      <c r="P11">
        <f t="shared" si="0"/>
        <v>511374.39999999997</v>
      </c>
      <c r="Q11">
        <v>7</v>
      </c>
      <c r="R11">
        <v>14</v>
      </c>
      <c r="S11">
        <f t="shared" si="2"/>
        <v>7</v>
      </c>
      <c r="T11" t="str">
        <f t="shared" si="1"/>
        <v>No</v>
      </c>
      <c r="U11">
        <v>2555</v>
      </c>
      <c r="V11">
        <v>617</v>
      </c>
      <c r="W11">
        <v>878</v>
      </c>
      <c r="X11">
        <v>4</v>
      </c>
      <c r="Y11">
        <v>6</v>
      </c>
      <c r="Z11">
        <v>628.16999999999996</v>
      </c>
      <c r="AA11">
        <v>5862</v>
      </c>
      <c r="AB11">
        <v>0.89</v>
      </c>
    </row>
    <row r="12" spans="1:28" x14ac:dyDescent="0.3">
      <c r="A12" t="s">
        <v>105</v>
      </c>
      <c r="B12">
        <v>44946</v>
      </c>
      <c r="C12" t="s">
        <v>106</v>
      </c>
      <c r="D12" t="s">
        <v>107</v>
      </c>
      <c r="E12" t="s">
        <v>76</v>
      </c>
      <c r="F12" t="s">
        <v>44</v>
      </c>
      <c r="G12" t="s">
        <v>103</v>
      </c>
      <c r="H12" t="s">
        <v>104</v>
      </c>
      <c r="I12" t="s">
        <v>47</v>
      </c>
      <c r="J12" t="s">
        <v>79</v>
      </c>
      <c r="K12" t="s">
        <v>70</v>
      </c>
      <c r="L12" t="s">
        <v>71</v>
      </c>
      <c r="M12" t="s">
        <v>72</v>
      </c>
      <c r="N12">
        <v>432</v>
      </c>
      <c r="O12">
        <v>2359.7800000000002</v>
      </c>
      <c r="P12">
        <f t="shared" si="0"/>
        <v>1019424.9600000001</v>
      </c>
      <c r="Q12">
        <v>18</v>
      </c>
      <c r="R12">
        <v>24</v>
      </c>
      <c r="S12">
        <f t="shared" si="2"/>
        <v>6</v>
      </c>
      <c r="T12" t="str">
        <f t="shared" si="1"/>
        <v>No</v>
      </c>
      <c r="U12">
        <v>2524</v>
      </c>
      <c r="V12">
        <v>606</v>
      </c>
      <c r="W12">
        <v>855</v>
      </c>
      <c r="X12">
        <v>7</v>
      </c>
      <c r="Y12">
        <v>10</v>
      </c>
      <c r="Z12">
        <v>1763.15</v>
      </c>
      <c r="AA12">
        <v>1010</v>
      </c>
      <c r="AB12">
        <v>0.9</v>
      </c>
    </row>
    <row r="13" spans="1:28" x14ac:dyDescent="0.3">
      <c r="A13" t="s">
        <v>108</v>
      </c>
      <c r="B13">
        <v>44949</v>
      </c>
      <c r="C13" t="s">
        <v>109</v>
      </c>
      <c r="D13" t="s">
        <v>110</v>
      </c>
      <c r="E13" t="s">
        <v>32</v>
      </c>
      <c r="F13" t="s">
        <v>44</v>
      </c>
      <c r="G13" t="s">
        <v>111</v>
      </c>
      <c r="H13" t="s">
        <v>112</v>
      </c>
      <c r="I13" t="s">
        <v>58</v>
      </c>
      <c r="J13" t="s">
        <v>69</v>
      </c>
      <c r="K13" t="s">
        <v>97</v>
      </c>
      <c r="L13" t="s">
        <v>98</v>
      </c>
      <c r="M13" t="s">
        <v>51</v>
      </c>
      <c r="N13">
        <v>773</v>
      </c>
      <c r="O13">
        <v>2290.7399999999998</v>
      </c>
      <c r="P13">
        <f t="shared" si="0"/>
        <v>1770742.0199999998</v>
      </c>
      <c r="Q13">
        <v>7</v>
      </c>
      <c r="R13">
        <v>5</v>
      </c>
      <c r="S13">
        <f t="shared" si="2"/>
        <v>0</v>
      </c>
      <c r="T13" t="str">
        <f t="shared" si="1"/>
        <v>Yes</v>
      </c>
      <c r="U13">
        <v>1755</v>
      </c>
      <c r="V13">
        <v>551</v>
      </c>
      <c r="W13">
        <v>465</v>
      </c>
      <c r="X13">
        <v>6</v>
      </c>
      <c r="Y13">
        <v>9</v>
      </c>
      <c r="Z13">
        <v>1829.9</v>
      </c>
      <c r="AA13">
        <v>7825</v>
      </c>
      <c r="AB13">
        <v>0.72</v>
      </c>
    </row>
    <row r="14" spans="1:28" x14ac:dyDescent="0.3">
      <c r="A14" t="s">
        <v>113</v>
      </c>
      <c r="B14">
        <v>44955</v>
      </c>
      <c r="C14" t="s">
        <v>114</v>
      </c>
      <c r="D14" t="s">
        <v>115</v>
      </c>
      <c r="E14" t="s">
        <v>116</v>
      </c>
      <c r="F14" t="s">
        <v>117</v>
      </c>
      <c r="G14" t="s">
        <v>111</v>
      </c>
      <c r="H14" t="s">
        <v>112</v>
      </c>
      <c r="I14" t="s">
        <v>58</v>
      </c>
      <c r="J14" t="s">
        <v>69</v>
      </c>
      <c r="K14" t="s">
        <v>38</v>
      </c>
      <c r="L14" t="s">
        <v>39</v>
      </c>
      <c r="M14" t="s">
        <v>40</v>
      </c>
      <c r="N14">
        <v>675</v>
      </c>
      <c r="O14">
        <v>3148.23</v>
      </c>
      <c r="P14">
        <f t="shared" si="0"/>
        <v>2125055.25</v>
      </c>
      <c r="Q14">
        <v>9</v>
      </c>
      <c r="R14">
        <v>9</v>
      </c>
      <c r="S14">
        <f t="shared" si="2"/>
        <v>0</v>
      </c>
      <c r="T14" t="str">
        <f t="shared" si="1"/>
        <v>Yes</v>
      </c>
      <c r="U14">
        <v>176</v>
      </c>
      <c r="V14">
        <v>434</v>
      </c>
      <c r="W14">
        <v>599</v>
      </c>
      <c r="X14">
        <v>11</v>
      </c>
      <c r="Y14">
        <v>15</v>
      </c>
      <c r="Z14">
        <v>2327.2199999999998</v>
      </c>
      <c r="AA14">
        <v>1636</v>
      </c>
      <c r="AB14">
        <v>0.91</v>
      </c>
    </row>
    <row r="15" spans="1:28" x14ac:dyDescent="0.3">
      <c r="A15" t="s">
        <v>118</v>
      </c>
      <c r="B15">
        <v>44955</v>
      </c>
      <c r="C15" t="s">
        <v>100</v>
      </c>
      <c r="D15" t="s">
        <v>101</v>
      </c>
      <c r="E15" t="s">
        <v>76</v>
      </c>
      <c r="F15" t="s">
        <v>44</v>
      </c>
      <c r="G15" t="s">
        <v>119</v>
      </c>
      <c r="H15" t="s">
        <v>120</v>
      </c>
      <c r="I15" t="s">
        <v>58</v>
      </c>
      <c r="J15" t="s">
        <v>59</v>
      </c>
      <c r="K15" t="s">
        <v>80</v>
      </c>
      <c r="L15" t="s">
        <v>81</v>
      </c>
      <c r="M15" t="s">
        <v>40</v>
      </c>
      <c r="N15">
        <v>49</v>
      </c>
      <c r="O15">
        <v>788.04</v>
      </c>
      <c r="P15">
        <f t="shared" si="0"/>
        <v>38613.96</v>
      </c>
      <c r="Q15">
        <v>18</v>
      </c>
      <c r="R15">
        <v>21</v>
      </c>
      <c r="S15">
        <f t="shared" si="2"/>
        <v>3</v>
      </c>
      <c r="T15" t="str">
        <f t="shared" si="1"/>
        <v>No</v>
      </c>
      <c r="U15">
        <v>1304</v>
      </c>
      <c r="V15">
        <v>40</v>
      </c>
      <c r="W15">
        <v>59</v>
      </c>
      <c r="X15">
        <v>4</v>
      </c>
      <c r="Y15">
        <v>6</v>
      </c>
      <c r="Z15">
        <v>491.05</v>
      </c>
      <c r="AA15">
        <v>7868</v>
      </c>
      <c r="AB15">
        <v>0.86</v>
      </c>
    </row>
    <row r="16" spans="1:28" x14ac:dyDescent="0.3">
      <c r="A16" t="s">
        <v>121</v>
      </c>
      <c r="B16">
        <v>44956</v>
      </c>
      <c r="C16" t="s">
        <v>122</v>
      </c>
      <c r="D16" t="s">
        <v>123</v>
      </c>
      <c r="E16" t="s">
        <v>89</v>
      </c>
      <c r="F16" t="s">
        <v>44</v>
      </c>
      <c r="G16" t="s">
        <v>124</v>
      </c>
      <c r="H16" t="s">
        <v>125</v>
      </c>
      <c r="I16" t="s">
        <v>126</v>
      </c>
      <c r="J16" t="s">
        <v>127</v>
      </c>
      <c r="K16" t="s">
        <v>93</v>
      </c>
      <c r="L16" t="s">
        <v>94</v>
      </c>
      <c r="M16" t="s">
        <v>95</v>
      </c>
      <c r="N16">
        <v>953</v>
      </c>
      <c r="O16">
        <v>2068.41</v>
      </c>
      <c r="P16">
        <f t="shared" si="0"/>
        <v>1971194.7299999997</v>
      </c>
      <c r="Q16">
        <v>5</v>
      </c>
      <c r="R16">
        <v>5</v>
      </c>
      <c r="S16">
        <f t="shared" si="2"/>
        <v>0</v>
      </c>
      <c r="T16" t="str">
        <f t="shared" si="1"/>
        <v>Yes</v>
      </c>
      <c r="U16">
        <v>606</v>
      </c>
      <c r="V16">
        <v>933</v>
      </c>
      <c r="W16">
        <v>1008</v>
      </c>
      <c r="X16">
        <v>8</v>
      </c>
      <c r="Y16">
        <v>12</v>
      </c>
      <c r="Z16">
        <v>1299.74</v>
      </c>
      <c r="AA16">
        <v>5686</v>
      </c>
      <c r="AB16">
        <v>0.97</v>
      </c>
    </row>
    <row r="17" spans="1:28" x14ac:dyDescent="0.3">
      <c r="A17" t="s">
        <v>128</v>
      </c>
      <c r="B17">
        <v>44956</v>
      </c>
      <c r="C17" t="s">
        <v>53</v>
      </c>
      <c r="D17" t="s">
        <v>54</v>
      </c>
      <c r="E17" t="s">
        <v>32</v>
      </c>
      <c r="F17" t="s">
        <v>117</v>
      </c>
      <c r="G17" t="s">
        <v>129</v>
      </c>
      <c r="H17" t="s">
        <v>130</v>
      </c>
      <c r="I17" t="s">
        <v>47</v>
      </c>
      <c r="J17" t="s">
        <v>79</v>
      </c>
      <c r="K17" t="s">
        <v>38</v>
      </c>
      <c r="L17" t="s">
        <v>39</v>
      </c>
      <c r="M17" t="s">
        <v>40</v>
      </c>
      <c r="N17">
        <v>281</v>
      </c>
      <c r="O17">
        <v>478.25</v>
      </c>
      <c r="P17">
        <f t="shared" si="0"/>
        <v>134388.25</v>
      </c>
      <c r="Q17">
        <v>29</v>
      </c>
      <c r="R17">
        <v>36</v>
      </c>
      <c r="S17">
        <f t="shared" si="2"/>
        <v>7</v>
      </c>
      <c r="T17" t="str">
        <f t="shared" si="1"/>
        <v>No</v>
      </c>
      <c r="U17">
        <v>1726</v>
      </c>
      <c r="V17">
        <v>292</v>
      </c>
      <c r="W17">
        <v>239</v>
      </c>
      <c r="X17">
        <v>3</v>
      </c>
      <c r="Y17">
        <v>5</v>
      </c>
      <c r="Z17">
        <v>371.98</v>
      </c>
      <c r="AA17">
        <v>4969</v>
      </c>
      <c r="AB17">
        <v>0.78</v>
      </c>
    </row>
    <row r="18" spans="1:28" x14ac:dyDescent="0.3">
      <c r="A18" t="s">
        <v>131</v>
      </c>
      <c r="B18">
        <v>44956</v>
      </c>
      <c r="C18" t="s">
        <v>109</v>
      </c>
      <c r="D18" t="s">
        <v>110</v>
      </c>
      <c r="E18" t="s">
        <v>32</v>
      </c>
      <c r="F18" t="s">
        <v>44</v>
      </c>
      <c r="G18" t="s">
        <v>56</v>
      </c>
      <c r="H18" t="s">
        <v>57</v>
      </c>
      <c r="I18" t="s">
        <v>58</v>
      </c>
      <c r="J18" t="s">
        <v>59</v>
      </c>
      <c r="K18" t="s">
        <v>49</v>
      </c>
      <c r="L18" t="s">
        <v>50</v>
      </c>
      <c r="M18" t="s">
        <v>51</v>
      </c>
      <c r="N18">
        <v>751</v>
      </c>
      <c r="O18">
        <v>2259.0300000000002</v>
      </c>
      <c r="P18">
        <f t="shared" si="0"/>
        <v>1696531.5300000003</v>
      </c>
      <c r="Q18">
        <v>19</v>
      </c>
      <c r="R18">
        <v>19</v>
      </c>
      <c r="S18">
        <f t="shared" si="2"/>
        <v>0</v>
      </c>
      <c r="T18" t="str">
        <f t="shared" si="1"/>
        <v>Yes</v>
      </c>
      <c r="U18">
        <v>2568</v>
      </c>
      <c r="V18">
        <v>706</v>
      </c>
      <c r="W18">
        <v>1013</v>
      </c>
      <c r="X18">
        <v>6</v>
      </c>
      <c r="Y18">
        <v>9</v>
      </c>
      <c r="Z18">
        <v>1622.84</v>
      </c>
      <c r="AA18">
        <v>5931</v>
      </c>
      <c r="AB18">
        <v>0.71</v>
      </c>
    </row>
    <row r="19" spans="1:28" x14ac:dyDescent="0.3">
      <c r="A19" t="s">
        <v>132</v>
      </c>
      <c r="B19">
        <v>44959</v>
      </c>
      <c r="C19" t="s">
        <v>114</v>
      </c>
      <c r="D19" t="s">
        <v>115</v>
      </c>
      <c r="E19" t="s">
        <v>116</v>
      </c>
      <c r="F19" t="s">
        <v>102</v>
      </c>
      <c r="G19" t="s">
        <v>83</v>
      </c>
      <c r="H19" t="s">
        <v>84</v>
      </c>
      <c r="I19" t="s">
        <v>47</v>
      </c>
      <c r="J19" t="s">
        <v>85</v>
      </c>
      <c r="K19" t="s">
        <v>60</v>
      </c>
      <c r="L19" t="s">
        <v>61</v>
      </c>
      <c r="M19" t="s">
        <v>62</v>
      </c>
      <c r="N19">
        <v>226</v>
      </c>
      <c r="O19">
        <v>3610.51</v>
      </c>
      <c r="P19">
        <f t="shared" si="0"/>
        <v>815975.26</v>
      </c>
      <c r="Q19">
        <v>23</v>
      </c>
      <c r="R19">
        <v>26</v>
      </c>
      <c r="S19">
        <f t="shared" si="2"/>
        <v>3</v>
      </c>
      <c r="T19" t="str">
        <f t="shared" si="1"/>
        <v>No</v>
      </c>
      <c r="U19">
        <v>890</v>
      </c>
      <c r="V19">
        <v>245</v>
      </c>
      <c r="W19">
        <v>263</v>
      </c>
      <c r="X19">
        <v>11</v>
      </c>
      <c r="Y19">
        <v>15</v>
      </c>
      <c r="Z19">
        <v>2826.7</v>
      </c>
      <c r="AA19">
        <v>4258</v>
      </c>
      <c r="AB19">
        <v>0.74</v>
      </c>
    </row>
    <row r="20" spans="1:28" x14ac:dyDescent="0.3">
      <c r="A20" t="s">
        <v>133</v>
      </c>
      <c r="B20">
        <v>44965</v>
      </c>
      <c r="C20" t="s">
        <v>64</v>
      </c>
      <c r="D20" t="s">
        <v>65</v>
      </c>
      <c r="E20" t="s">
        <v>66</v>
      </c>
      <c r="F20" t="s">
        <v>55</v>
      </c>
      <c r="G20" t="s">
        <v>134</v>
      </c>
      <c r="H20" t="s">
        <v>135</v>
      </c>
      <c r="I20" t="s">
        <v>58</v>
      </c>
      <c r="J20" t="s">
        <v>59</v>
      </c>
      <c r="K20" t="s">
        <v>49</v>
      </c>
      <c r="L20" t="s">
        <v>50</v>
      </c>
      <c r="M20" t="s">
        <v>51</v>
      </c>
      <c r="N20">
        <v>982</v>
      </c>
      <c r="O20">
        <v>76.8</v>
      </c>
      <c r="P20">
        <f t="shared" si="0"/>
        <v>75417.599999999991</v>
      </c>
      <c r="Q20">
        <v>15</v>
      </c>
      <c r="R20">
        <v>21</v>
      </c>
      <c r="S20">
        <f t="shared" si="2"/>
        <v>6</v>
      </c>
      <c r="T20" t="str">
        <f t="shared" si="1"/>
        <v>No</v>
      </c>
      <c r="U20">
        <v>800</v>
      </c>
      <c r="V20">
        <v>315</v>
      </c>
      <c r="W20">
        <v>252</v>
      </c>
      <c r="X20">
        <v>2</v>
      </c>
      <c r="Y20">
        <v>3</v>
      </c>
      <c r="Z20">
        <v>57.35</v>
      </c>
      <c r="AA20">
        <v>2353</v>
      </c>
      <c r="AB20">
        <v>0.89</v>
      </c>
    </row>
    <row r="21" spans="1:28" x14ac:dyDescent="0.3">
      <c r="A21" t="s">
        <v>136</v>
      </c>
      <c r="B21">
        <v>44969</v>
      </c>
      <c r="C21" t="s">
        <v>106</v>
      </c>
      <c r="D21" t="s">
        <v>107</v>
      </c>
      <c r="E21" t="s">
        <v>76</v>
      </c>
      <c r="F21" t="s">
        <v>33</v>
      </c>
      <c r="G21" t="s">
        <v>129</v>
      </c>
      <c r="H21" t="s">
        <v>130</v>
      </c>
      <c r="I21" t="s">
        <v>47</v>
      </c>
      <c r="J21" t="s">
        <v>79</v>
      </c>
      <c r="K21" t="s">
        <v>70</v>
      </c>
      <c r="L21" t="s">
        <v>71</v>
      </c>
      <c r="M21" t="s">
        <v>72</v>
      </c>
      <c r="N21">
        <v>339</v>
      </c>
      <c r="O21">
        <v>2312.75</v>
      </c>
      <c r="P21">
        <f t="shared" si="0"/>
        <v>784022.25</v>
      </c>
      <c r="Q21">
        <v>21</v>
      </c>
      <c r="R21">
        <v>21</v>
      </c>
      <c r="S21">
        <f t="shared" si="2"/>
        <v>0</v>
      </c>
      <c r="T21" t="str">
        <f t="shared" si="1"/>
        <v>Yes</v>
      </c>
      <c r="U21">
        <v>273</v>
      </c>
      <c r="V21">
        <v>284</v>
      </c>
      <c r="W21">
        <v>388</v>
      </c>
      <c r="X21">
        <v>7</v>
      </c>
      <c r="Y21">
        <v>10</v>
      </c>
      <c r="Z21">
        <v>1774.98</v>
      </c>
      <c r="AA21">
        <v>6351</v>
      </c>
      <c r="AB21">
        <v>0.72</v>
      </c>
    </row>
    <row r="22" spans="1:28" x14ac:dyDescent="0.3">
      <c r="A22" t="s">
        <v>137</v>
      </c>
      <c r="B22">
        <v>44974</v>
      </c>
      <c r="C22" t="s">
        <v>53</v>
      </c>
      <c r="D22" t="s">
        <v>54</v>
      </c>
      <c r="E22" t="s">
        <v>32</v>
      </c>
      <c r="F22" t="s">
        <v>44</v>
      </c>
      <c r="G22" t="s">
        <v>138</v>
      </c>
      <c r="H22" t="s">
        <v>139</v>
      </c>
      <c r="I22" t="s">
        <v>47</v>
      </c>
      <c r="J22" t="s">
        <v>48</v>
      </c>
      <c r="K22" t="s">
        <v>38</v>
      </c>
      <c r="L22" t="s">
        <v>39</v>
      </c>
      <c r="M22" t="s">
        <v>40</v>
      </c>
      <c r="N22">
        <v>587</v>
      </c>
      <c r="O22">
        <v>479.04</v>
      </c>
      <c r="P22">
        <f t="shared" si="0"/>
        <v>281196.48000000004</v>
      </c>
      <c r="Q22">
        <v>10</v>
      </c>
      <c r="R22">
        <v>13</v>
      </c>
      <c r="S22">
        <f t="shared" si="2"/>
        <v>3</v>
      </c>
      <c r="T22" t="str">
        <f t="shared" si="1"/>
        <v>No</v>
      </c>
      <c r="U22">
        <v>84</v>
      </c>
      <c r="V22">
        <v>853</v>
      </c>
      <c r="W22">
        <v>1032</v>
      </c>
      <c r="X22">
        <v>3</v>
      </c>
      <c r="Y22">
        <v>5</v>
      </c>
      <c r="Z22">
        <v>359.49</v>
      </c>
      <c r="AA22">
        <v>6338</v>
      </c>
      <c r="AB22">
        <v>0.93</v>
      </c>
    </row>
    <row r="23" spans="1:28" x14ac:dyDescent="0.3">
      <c r="A23" t="s">
        <v>140</v>
      </c>
      <c r="B23">
        <v>44975</v>
      </c>
      <c r="C23" t="s">
        <v>114</v>
      </c>
      <c r="D23" t="s">
        <v>115</v>
      </c>
      <c r="E23" t="s">
        <v>116</v>
      </c>
      <c r="F23" t="s">
        <v>44</v>
      </c>
      <c r="G23" t="s">
        <v>141</v>
      </c>
      <c r="H23" t="s">
        <v>142</v>
      </c>
      <c r="I23" t="s">
        <v>47</v>
      </c>
      <c r="J23" t="s">
        <v>48</v>
      </c>
      <c r="K23" t="s">
        <v>80</v>
      </c>
      <c r="L23" t="s">
        <v>81</v>
      </c>
      <c r="M23" t="s">
        <v>40</v>
      </c>
      <c r="N23">
        <v>457</v>
      </c>
      <c r="O23">
        <v>3591.59</v>
      </c>
      <c r="P23">
        <f t="shared" si="0"/>
        <v>1641356.6300000001</v>
      </c>
      <c r="Q23">
        <v>28</v>
      </c>
      <c r="R23">
        <v>33</v>
      </c>
      <c r="S23">
        <f t="shared" si="2"/>
        <v>5</v>
      </c>
      <c r="T23" t="str">
        <f t="shared" si="1"/>
        <v>No</v>
      </c>
      <c r="U23">
        <v>1603</v>
      </c>
      <c r="V23">
        <v>323</v>
      </c>
      <c r="W23">
        <v>300</v>
      </c>
      <c r="X23">
        <v>11</v>
      </c>
      <c r="Y23">
        <v>15</v>
      </c>
      <c r="Z23">
        <v>2652.08</v>
      </c>
      <c r="AA23">
        <v>3509</v>
      </c>
      <c r="AB23">
        <v>0.96</v>
      </c>
    </row>
    <row r="24" spans="1:28" x14ac:dyDescent="0.3">
      <c r="A24" t="s">
        <v>143</v>
      </c>
      <c r="B24">
        <v>44977</v>
      </c>
      <c r="C24" t="s">
        <v>144</v>
      </c>
      <c r="D24" t="s">
        <v>145</v>
      </c>
      <c r="E24" t="s">
        <v>76</v>
      </c>
      <c r="F24" t="s">
        <v>102</v>
      </c>
      <c r="G24" t="s">
        <v>111</v>
      </c>
      <c r="H24" t="s">
        <v>112</v>
      </c>
      <c r="I24" t="s">
        <v>58</v>
      </c>
      <c r="J24" t="s">
        <v>69</v>
      </c>
      <c r="K24" t="s">
        <v>80</v>
      </c>
      <c r="L24" t="s">
        <v>81</v>
      </c>
      <c r="M24" t="s">
        <v>40</v>
      </c>
      <c r="N24">
        <v>804</v>
      </c>
      <c r="O24">
        <v>197.95</v>
      </c>
      <c r="P24">
        <f t="shared" si="0"/>
        <v>159151.79999999999</v>
      </c>
      <c r="Q24">
        <v>24</v>
      </c>
      <c r="R24">
        <v>27</v>
      </c>
      <c r="S24">
        <f t="shared" si="2"/>
        <v>3</v>
      </c>
      <c r="T24" t="str">
        <f t="shared" si="1"/>
        <v>No</v>
      </c>
      <c r="U24">
        <v>917</v>
      </c>
      <c r="V24">
        <v>855</v>
      </c>
      <c r="W24">
        <v>1055</v>
      </c>
      <c r="X24">
        <v>2.5</v>
      </c>
      <c r="Y24">
        <v>4</v>
      </c>
      <c r="Z24">
        <v>145.6</v>
      </c>
      <c r="AA24">
        <v>6405</v>
      </c>
      <c r="AB24">
        <v>0.91</v>
      </c>
    </row>
    <row r="25" spans="1:28" x14ac:dyDescent="0.3">
      <c r="A25" t="s">
        <v>146</v>
      </c>
      <c r="B25">
        <v>44982</v>
      </c>
      <c r="C25" t="s">
        <v>87</v>
      </c>
      <c r="D25" t="s">
        <v>88</v>
      </c>
      <c r="E25" t="s">
        <v>89</v>
      </c>
      <c r="F25" t="s">
        <v>55</v>
      </c>
      <c r="G25" t="s">
        <v>147</v>
      </c>
      <c r="H25" t="s">
        <v>148</v>
      </c>
      <c r="I25" t="s">
        <v>58</v>
      </c>
      <c r="J25" t="s">
        <v>59</v>
      </c>
      <c r="K25" t="s">
        <v>93</v>
      </c>
      <c r="L25" t="s">
        <v>94</v>
      </c>
      <c r="M25" t="s">
        <v>95</v>
      </c>
      <c r="N25">
        <v>882</v>
      </c>
      <c r="O25">
        <v>8703.65</v>
      </c>
      <c r="P25">
        <f t="shared" si="0"/>
        <v>7676619.2999999998</v>
      </c>
      <c r="Q25">
        <v>10</v>
      </c>
      <c r="R25">
        <v>9</v>
      </c>
      <c r="S25">
        <f t="shared" si="2"/>
        <v>0</v>
      </c>
      <c r="T25" t="str">
        <f t="shared" si="1"/>
        <v>Yes</v>
      </c>
      <c r="U25">
        <v>2033</v>
      </c>
      <c r="V25">
        <v>603</v>
      </c>
      <c r="W25">
        <v>622</v>
      </c>
      <c r="X25">
        <v>18</v>
      </c>
      <c r="Y25">
        <v>25</v>
      </c>
      <c r="Z25">
        <v>5706.39</v>
      </c>
      <c r="AA25">
        <v>4652</v>
      </c>
      <c r="AB25">
        <v>0.76</v>
      </c>
    </row>
    <row r="26" spans="1:28" x14ac:dyDescent="0.3">
      <c r="A26" t="s">
        <v>149</v>
      </c>
      <c r="B26">
        <v>44982</v>
      </c>
      <c r="C26" t="s">
        <v>150</v>
      </c>
      <c r="D26" t="s">
        <v>151</v>
      </c>
      <c r="E26" t="s">
        <v>66</v>
      </c>
      <c r="F26" t="s">
        <v>102</v>
      </c>
      <c r="G26" t="s">
        <v>34</v>
      </c>
      <c r="H26" t="s">
        <v>35</v>
      </c>
      <c r="I26" t="s">
        <v>36</v>
      </c>
      <c r="J26" t="s">
        <v>37</v>
      </c>
      <c r="K26" t="s">
        <v>70</v>
      </c>
      <c r="L26" t="s">
        <v>71</v>
      </c>
      <c r="M26" t="s">
        <v>72</v>
      </c>
      <c r="N26">
        <v>256</v>
      </c>
      <c r="O26">
        <v>46.12</v>
      </c>
      <c r="P26">
        <f t="shared" si="0"/>
        <v>11806.72</v>
      </c>
      <c r="Q26">
        <v>24</v>
      </c>
      <c r="R26">
        <v>23</v>
      </c>
      <c r="S26">
        <f t="shared" si="2"/>
        <v>0</v>
      </c>
      <c r="T26" t="str">
        <f t="shared" si="1"/>
        <v>Yes</v>
      </c>
      <c r="U26">
        <v>2183</v>
      </c>
      <c r="V26">
        <v>349</v>
      </c>
      <c r="W26">
        <v>282</v>
      </c>
      <c r="X26">
        <v>1.5</v>
      </c>
      <c r="Y26">
        <v>2</v>
      </c>
      <c r="Z26">
        <v>31</v>
      </c>
      <c r="AA26">
        <v>3092</v>
      </c>
      <c r="AB26">
        <v>0.74</v>
      </c>
    </row>
    <row r="27" spans="1:28" x14ac:dyDescent="0.3">
      <c r="A27" t="s">
        <v>152</v>
      </c>
      <c r="B27">
        <v>44986</v>
      </c>
      <c r="C27" t="s">
        <v>64</v>
      </c>
      <c r="D27" t="s">
        <v>65</v>
      </c>
      <c r="E27" t="s">
        <v>66</v>
      </c>
      <c r="F27" t="s">
        <v>102</v>
      </c>
      <c r="G27" t="s">
        <v>103</v>
      </c>
      <c r="H27" t="s">
        <v>104</v>
      </c>
      <c r="I27" t="s">
        <v>47</v>
      </c>
      <c r="J27" t="s">
        <v>79</v>
      </c>
      <c r="K27" t="s">
        <v>70</v>
      </c>
      <c r="L27" t="s">
        <v>71</v>
      </c>
      <c r="M27" t="s">
        <v>72</v>
      </c>
      <c r="N27">
        <v>407</v>
      </c>
      <c r="O27">
        <v>81.66</v>
      </c>
      <c r="P27">
        <f t="shared" si="0"/>
        <v>33235.619999999995</v>
      </c>
      <c r="Q27">
        <v>11</v>
      </c>
      <c r="R27">
        <v>14</v>
      </c>
      <c r="S27">
        <f t="shared" si="2"/>
        <v>3</v>
      </c>
      <c r="T27" t="str">
        <f t="shared" si="1"/>
        <v>No</v>
      </c>
      <c r="U27">
        <v>2668</v>
      </c>
      <c r="V27">
        <v>160</v>
      </c>
      <c r="W27">
        <v>178</v>
      </c>
      <c r="X27">
        <v>2</v>
      </c>
      <c r="Y27">
        <v>3</v>
      </c>
      <c r="Z27">
        <v>55.06</v>
      </c>
      <c r="AA27">
        <v>4887</v>
      </c>
      <c r="AB27">
        <v>0.9</v>
      </c>
    </row>
    <row r="28" spans="1:28" x14ac:dyDescent="0.3">
      <c r="A28" t="s">
        <v>153</v>
      </c>
      <c r="B28">
        <v>44991</v>
      </c>
      <c r="C28" t="s">
        <v>122</v>
      </c>
      <c r="D28" t="s">
        <v>123</v>
      </c>
      <c r="E28" t="s">
        <v>89</v>
      </c>
      <c r="F28" t="s">
        <v>102</v>
      </c>
      <c r="G28" t="s">
        <v>83</v>
      </c>
      <c r="H28" t="s">
        <v>84</v>
      </c>
      <c r="I28" t="s">
        <v>47</v>
      </c>
      <c r="J28" t="s">
        <v>85</v>
      </c>
      <c r="K28" t="s">
        <v>93</v>
      </c>
      <c r="L28" t="s">
        <v>94</v>
      </c>
      <c r="M28" t="s">
        <v>95</v>
      </c>
      <c r="N28">
        <v>316</v>
      </c>
      <c r="O28">
        <v>2144.2199999999998</v>
      </c>
      <c r="P28">
        <f t="shared" si="0"/>
        <v>677573.5199999999</v>
      </c>
      <c r="Q28">
        <v>7</v>
      </c>
      <c r="R28">
        <v>10</v>
      </c>
      <c r="S28">
        <f t="shared" si="2"/>
        <v>3</v>
      </c>
      <c r="T28" t="str">
        <f t="shared" si="1"/>
        <v>No</v>
      </c>
      <c r="U28">
        <v>1050</v>
      </c>
      <c r="V28">
        <v>452</v>
      </c>
      <c r="W28">
        <v>589</v>
      </c>
      <c r="X28">
        <v>8</v>
      </c>
      <c r="Y28">
        <v>12</v>
      </c>
      <c r="Z28">
        <v>1499.15</v>
      </c>
      <c r="AA28">
        <v>5551</v>
      </c>
      <c r="AB28">
        <v>0.75</v>
      </c>
    </row>
    <row r="29" spans="1:28" x14ac:dyDescent="0.3">
      <c r="A29" t="s">
        <v>154</v>
      </c>
      <c r="B29">
        <v>44992</v>
      </c>
      <c r="C29" t="s">
        <v>114</v>
      </c>
      <c r="D29" t="s">
        <v>115</v>
      </c>
      <c r="E29" t="s">
        <v>116</v>
      </c>
      <c r="F29" t="s">
        <v>117</v>
      </c>
      <c r="G29" t="s">
        <v>155</v>
      </c>
      <c r="H29" t="s">
        <v>156</v>
      </c>
      <c r="I29" t="s">
        <v>58</v>
      </c>
      <c r="J29" t="s">
        <v>92</v>
      </c>
      <c r="K29" t="s">
        <v>38</v>
      </c>
      <c r="L29" t="s">
        <v>39</v>
      </c>
      <c r="M29" t="s">
        <v>40</v>
      </c>
      <c r="N29">
        <v>245</v>
      </c>
      <c r="O29">
        <v>3350.75</v>
      </c>
      <c r="P29">
        <f t="shared" si="0"/>
        <v>820933.75</v>
      </c>
      <c r="Q29">
        <v>5</v>
      </c>
      <c r="R29">
        <v>4</v>
      </c>
      <c r="S29">
        <f t="shared" si="2"/>
        <v>0</v>
      </c>
      <c r="T29" t="str">
        <f t="shared" si="1"/>
        <v>Yes</v>
      </c>
      <c r="U29">
        <v>2919</v>
      </c>
      <c r="V29">
        <v>259</v>
      </c>
      <c r="W29">
        <v>248</v>
      </c>
      <c r="X29">
        <v>11</v>
      </c>
      <c r="Y29">
        <v>15</v>
      </c>
      <c r="Z29">
        <v>2617.2199999999998</v>
      </c>
      <c r="AA29">
        <v>7542</v>
      </c>
      <c r="AB29">
        <v>0.79</v>
      </c>
    </row>
    <row r="30" spans="1:28" x14ac:dyDescent="0.3">
      <c r="A30" t="s">
        <v>157</v>
      </c>
      <c r="B30">
        <v>44993</v>
      </c>
      <c r="C30" t="s">
        <v>158</v>
      </c>
      <c r="D30" t="s">
        <v>159</v>
      </c>
      <c r="E30" t="s">
        <v>89</v>
      </c>
      <c r="F30" t="s">
        <v>102</v>
      </c>
      <c r="G30" t="s">
        <v>160</v>
      </c>
      <c r="H30" t="s">
        <v>161</v>
      </c>
      <c r="I30" t="s">
        <v>47</v>
      </c>
      <c r="J30" t="s">
        <v>79</v>
      </c>
      <c r="K30" t="s">
        <v>97</v>
      </c>
      <c r="L30" t="s">
        <v>98</v>
      </c>
      <c r="M30" t="s">
        <v>51</v>
      </c>
      <c r="N30">
        <v>104</v>
      </c>
      <c r="O30">
        <v>7658.63</v>
      </c>
      <c r="P30">
        <f t="shared" si="0"/>
        <v>796497.52</v>
      </c>
      <c r="Q30">
        <v>30</v>
      </c>
      <c r="R30">
        <v>33</v>
      </c>
      <c r="S30">
        <f t="shared" si="2"/>
        <v>3</v>
      </c>
      <c r="T30" t="str">
        <f t="shared" si="1"/>
        <v>No</v>
      </c>
      <c r="U30">
        <v>521</v>
      </c>
      <c r="V30">
        <v>36</v>
      </c>
      <c r="W30">
        <v>40</v>
      </c>
      <c r="X30">
        <v>15</v>
      </c>
      <c r="Y30">
        <v>20</v>
      </c>
      <c r="Z30">
        <v>4852.49</v>
      </c>
      <c r="AA30">
        <v>5201</v>
      </c>
      <c r="AB30">
        <v>0.82</v>
      </c>
    </row>
    <row r="31" spans="1:28" x14ac:dyDescent="0.3">
      <c r="A31" t="s">
        <v>162</v>
      </c>
      <c r="B31">
        <v>44995</v>
      </c>
      <c r="C31" t="s">
        <v>53</v>
      </c>
      <c r="D31" t="s">
        <v>54</v>
      </c>
      <c r="E31" t="s">
        <v>32</v>
      </c>
      <c r="F31" t="s">
        <v>102</v>
      </c>
      <c r="G31" t="s">
        <v>90</v>
      </c>
      <c r="H31" t="s">
        <v>91</v>
      </c>
      <c r="I31" t="s">
        <v>58</v>
      </c>
      <c r="J31" t="s">
        <v>92</v>
      </c>
      <c r="K31" t="s">
        <v>49</v>
      </c>
      <c r="L31" t="s">
        <v>50</v>
      </c>
      <c r="M31" t="s">
        <v>51</v>
      </c>
      <c r="N31">
        <v>575</v>
      </c>
      <c r="O31">
        <v>441.69</v>
      </c>
      <c r="P31">
        <f t="shared" si="0"/>
        <v>253971.75</v>
      </c>
      <c r="Q31">
        <v>13</v>
      </c>
      <c r="R31">
        <v>19</v>
      </c>
      <c r="S31">
        <f t="shared" si="2"/>
        <v>6</v>
      </c>
      <c r="T31" t="str">
        <f t="shared" si="1"/>
        <v>No</v>
      </c>
      <c r="U31">
        <v>1896</v>
      </c>
      <c r="V31">
        <v>805</v>
      </c>
      <c r="W31">
        <v>650</v>
      </c>
      <c r="X31">
        <v>3</v>
      </c>
      <c r="Y31">
        <v>5</v>
      </c>
      <c r="Z31">
        <v>326.89</v>
      </c>
      <c r="AA31">
        <v>5313</v>
      </c>
      <c r="AB31">
        <v>0.85</v>
      </c>
    </row>
    <row r="32" spans="1:28" x14ac:dyDescent="0.3">
      <c r="A32" t="s">
        <v>163</v>
      </c>
      <c r="B32">
        <v>44995</v>
      </c>
      <c r="C32" t="s">
        <v>53</v>
      </c>
      <c r="D32" t="s">
        <v>54</v>
      </c>
      <c r="E32" t="s">
        <v>32</v>
      </c>
      <c r="F32" t="s">
        <v>117</v>
      </c>
      <c r="G32" t="s">
        <v>164</v>
      </c>
      <c r="H32" t="s">
        <v>165</v>
      </c>
      <c r="I32" t="s">
        <v>47</v>
      </c>
      <c r="J32" t="s">
        <v>48</v>
      </c>
      <c r="K32" t="s">
        <v>49</v>
      </c>
      <c r="L32" t="s">
        <v>50</v>
      </c>
      <c r="M32" t="s">
        <v>51</v>
      </c>
      <c r="N32">
        <v>108</v>
      </c>
      <c r="O32">
        <v>488.77</v>
      </c>
      <c r="P32">
        <f t="shared" si="0"/>
        <v>52787.159999999996</v>
      </c>
      <c r="Q32">
        <v>16</v>
      </c>
      <c r="R32">
        <v>16</v>
      </c>
      <c r="S32">
        <f t="shared" si="2"/>
        <v>0</v>
      </c>
      <c r="T32" t="str">
        <f t="shared" si="1"/>
        <v>Yes</v>
      </c>
      <c r="U32">
        <v>2298</v>
      </c>
      <c r="V32">
        <v>40</v>
      </c>
      <c r="W32">
        <v>58</v>
      </c>
      <c r="X32">
        <v>3</v>
      </c>
      <c r="Y32">
        <v>5</v>
      </c>
      <c r="Z32">
        <v>348.17</v>
      </c>
      <c r="AA32">
        <v>5988</v>
      </c>
      <c r="AB32">
        <v>0.73</v>
      </c>
    </row>
    <row r="33" spans="1:28" x14ac:dyDescent="0.3">
      <c r="A33" t="s">
        <v>166</v>
      </c>
      <c r="B33">
        <v>45000</v>
      </c>
      <c r="C33" t="s">
        <v>74</v>
      </c>
      <c r="D33" t="s">
        <v>75</v>
      </c>
      <c r="E33" t="s">
        <v>76</v>
      </c>
      <c r="F33" t="s">
        <v>117</v>
      </c>
      <c r="G33" t="s">
        <v>167</v>
      </c>
      <c r="H33" t="s">
        <v>168</v>
      </c>
      <c r="I33" t="s">
        <v>47</v>
      </c>
      <c r="J33" t="s">
        <v>48</v>
      </c>
      <c r="K33" t="s">
        <v>80</v>
      </c>
      <c r="L33" t="s">
        <v>81</v>
      </c>
      <c r="M33" t="s">
        <v>40</v>
      </c>
      <c r="N33">
        <v>48</v>
      </c>
      <c r="O33">
        <v>295</v>
      </c>
      <c r="P33">
        <f t="shared" si="0"/>
        <v>14160</v>
      </c>
      <c r="Q33">
        <v>6</v>
      </c>
      <c r="R33">
        <v>6</v>
      </c>
      <c r="S33">
        <f t="shared" si="2"/>
        <v>0</v>
      </c>
      <c r="T33" t="str">
        <f t="shared" si="1"/>
        <v>Yes</v>
      </c>
      <c r="U33">
        <v>1051</v>
      </c>
      <c r="V33">
        <v>46</v>
      </c>
      <c r="W33">
        <v>55</v>
      </c>
      <c r="X33">
        <v>2</v>
      </c>
      <c r="Y33">
        <v>4</v>
      </c>
      <c r="Z33">
        <v>190.43</v>
      </c>
      <c r="AA33">
        <v>2618</v>
      </c>
      <c r="AB33">
        <v>0.81</v>
      </c>
    </row>
    <row r="34" spans="1:28" x14ac:dyDescent="0.3">
      <c r="A34" t="s">
        <v>169</v>
      </c>
      <c r="B34">
        <v>45001</v>
      </c>
      <c r="C34" t="s">
        <v>170</v>
      </c>
      <c r="D34" t="s">
        <v>171</v>
      </c>
      <c r="E34" t="s">
        <v>116</v>
      </c>
      <c r="F34" t="s">
        <v>117</v>
      </c>
      <c r="G34" t="s">
        <v>83</v>
      </c>
      <c r="H34" t="s">
        <v>84</v>
      </c>
      <c r="I34" t="s">
        <v>47</v>
      </c>
      <c r="J34" t="s">
        <v>85</v>
      </c>
      <c r="K34" t="s">
        <v>60</v>
      </c>
      <c r="L34" t="s">
        <v>61</v>
      </c>
      <c r="M34" t="s">
        <v>62</v>
      </c>
      <c r="N34">
        <v>212</v>
      </c>
      <c r="O34">
        <v>2000.59</v>
      </c>
      <c r="P34">
        <f t="shared" si="0"/>
        <v>424125.07999999996</v>
      </c>
      <c r="Q34">
        <v>20</v>
      </c>
      <c r="R34">
        <v>23</v>
      </c>
      <c r="S34">
        <f t="shared" si="2"/>
        <v>3</v>
      </c>
      <c r="T34" t="str">
        <f t="shared" si="1"/>
        <v>No</v>
      </c>
      <c r="U34">
        <v>1482</v>
      </c>
      <c r="V34">
        <v>96</v>
      </c>
      <c r="W34">
        <v>120</v>
      </c>
      <c r="X34">
        <v>7</v>
      </c>
      <c r="Y34">
        <v>10</v>
      </c>
      <c r="Z34">
        <v>1240.3800000000001</v>
      </c>
      <c r="AA34">
        <v>5575</v>
      </c>
      <c r="AB34">
        <v>0.72</v>
      </c>
    </row>
    <row r="35" spans="1:28" x14ac:dyDescent="0.3">
      <c r="A35" t="s">
        <v>172</v>
      </c>
      <c r="B35">
        <v>45002</v>
      </c>
      <c r="C35" t="s">
        <v>109</v>
      </c>
      <c r="D35" t="s">
        <v>110</v>
      </c>
      <c r="E35" t="s">
        <v>32</v>
      </c>
      <c r="F35" t="s">
        <v>33</v>
      </c>
      <c r="G35" t="s">
        <v>167</v>
      </c>
      <c r="H35" t="s">
        <v>168</v>
      </c>
      <c r="I35" t="s">
        <v>47</v>
      </c>
      <c r="J35" t="s">
        <v>48</v>
      </c>
      <c r="K35" t="s">
        <v>38</v>
      </c>
      <c r="L35" t="s">
        <v>39</v>
      </c>
      <c r="M35" t="s">
        <v>40</v>
      </c>
      <c r="N35">
        <v>296</v>
      </c>
      <c r="O35">
        <v>2655.19</v>
      </c>
      <c r="P35">
        <f t="shared" si="0"/>
        <v>785936.24</v>
      </c>
      <c r="Q35">
        <v>24</v>
      </c>
      <c r="R35">
        <v>32</v>
      </c>
      <c r="S35">
        <f t="shared" si="2"/>
        <v>8</v>
      </c>
      <c r="T35" t="str">
        <f t="shared" si="1"/>
        <v>No</v>
      </c>
      <c r="U35">
        <v>2522</v>
      </c>
      <c r="V35">
        <v>131</v>
      </c>
      <c r="W35">
        <v>194</v>
      </c>
      <c r="X35">
        <v>6</v>
      </c>
      <c r="Y35">
        <v>9</v>
      </c>
      <c r="Z35">
        <v>1802.29</v>
      </c>
      <c r="AA35">
        <v>7011</v>
      </c>
      <c r="AB35">
        <v>0.98</v>
      </c>
    </row>
    <row r="36" spans="1:28" x14ac:dyDescent="0.3">
      <c r="A36" t="s">
        <v>173</v>
      </c>
      <c r="B36">
        <v>45003</v>
      </c>
      <c r="C36" t="s">
        <v>122</v>
      </c>
      <c r="D36" t="s">
        <v>123</v>
      </c>
      <c r="E36" t="s">
        <v>89</v>
      </c>
      <c r="F36" t="s">
        <v>117</v>
      </c>
      <c r="G36" t="s">
        <v>103</v>
      </c>
      <c r="H36" t="s">
        <v>104</v>
      </c>
      <c r="I36" t="s">
        <v>47</v>
      </c>
      <c r="J36" t="s">
        <v>79</v>
      </c>
      <c r="K36" t="s">
        <v>93</v>
      </c>
      <c r="L36" t="s">
        <v>94</v>
      </c>
      <c r="M36" t="s">
        <v>95</v>
      </c>
      <c r="N36">
        <v>715</v>
      </c>
      <c r="O36">
        <v>2201.75</v>
      </c>
      <c r="P36">
        <f t="shared" si="0"/>
        <v>1574251.25</v>
      </c>
      <c r="Q36">
        <v>14</v>
      </c>
      <c r="R36">
        <v>12</v>
      </c>
      <c r="S36">
        <f t="shared" si="2"/>
        <v>0</v>
      </c>
      <c r="T36" t="str">
        <f t="shared" si="1"/>
        <v>Yes</v>
      </c>
      <c r="U36">
        <v>968</v>
      </c>
      <c r="V36">
        <v>461</v>
      </c>
      <c r="W36">
        <v>460</v>
      </c>
      <c r="X36">
        <v>8</v>
      </c>
      <c r="Y36">
        <v>12</v>
      </c>
      <c r="Z36">
        <v>1699.58</v>
      </c>
      <c r="AA36">
        <v>1083</v>
      </c>
      <c r="AB36">
        <v>0.89</v>
      </c>
    </row>
    <row r="37" spans="1:28" x14ac:dyDescent="0.3">
      <c r="A37" t="s">
        <v>174</v>
      </c>
      <c r="B37">
        <v>45005</v>
      </c>
      <c r="C37" t="s">
        <v>170</v>
      </c>
      <c r="D37" t="s">
        <v>171</v>
      </c>
      <c r="E37" t="s">
        <v>116</v>
      </c>
      <c r="F37" t="s">
        <v>55</v>
      </c>
      <c r="G37" t="s">
        <v>155</v>
      </c>
      <c r="H37" t="s">
        <v>156</v>
      </c>
      <c r="I37" t="s">
        <v>58</v>
      </c>
      <c r="J37" t="s">
        <v>92</v>
      </c>
      <c r="K37" t="s">
        <v>60</v>
      </c>
      <c r="L37" t="s">
        <v>61</v>
      </c>
      <c r="M37" t="s">
        <v>62</v>
      </c>
      <c r="N37">
        <v>590</v>
      </c>
      <c r="O37">
        <v>2051.0300000000002</v>
      </c>
      <c r="P37">
        <f t="shared" si="0"/>
        <v>1210107.7000000002</v>
      </c>
      <c r="Q37">
        <v>17</v>
      </c>
      <c r="R37">
        <v>25</v>
      </c>
      <c r="S37">
        <f t="shared" si="2"/>
        <v>8</v>
      </c>
      <c r="T37" t="str">
        <f t="shared" si="1"/>
        <v>No</v>
      </c>
      <c r="U37">
        <v>2234</v>
      </c>
      <c r="V37">
        <v>411</v>
      </c>
      <c r="W37">
        <v>546</v>
      </c>
      <c r="X37">
        <v>7</v>
      </c>
      <c r="Y37">
        <v>10</v>
      </c>
      <c r="Z37">
        <v>1288.02</v>
      </c>
      <c r="AA37">
        <v>6146</v>
      </c>
      <c r="AB37">
        <v>0.9</v>
      </c>
    </row>
    <row r="38" spans="1:28" x14ac:dyDescent="0.3">
      <c r="A38" t="s">
        <v>175</v>
      </c>
      <c r="B38">
        <v>45005</v>
      </c>
      <c r="C38" t="s">
        <v>176</v>
      </c>
      <c r="D38" t="s">
        <v>177</v>
      </c>
      <c r="E38" t="s">
        <v>89</v>
      </c>
      <c r="F38" t="s">
        <v>117</v>
      </c>
      <c r="G38" t="s">
        <v>147</v>
      </c>
      <c r="H38" t="s">
        <v>148</v>
      </c>
      <c r="I38" t="s">
        <v>58</v>
      </c>
      <c r="J38" t="s">
        <v>59</v>
      </c>
      <c r="K38" t="s">
        <v>178</v>
      </c>
      <c r="L38" t="s">
        <v>179</v>
      </c>
      <c r="M38" t="s">
        <v>62</v>
      </c>
      <c r="N38">
        <v>208</v>
      </c>
      <c r="O38">
        <v>4731.22</v>
      </c>
      <c r="P38">
        <f t="shared" si="0"/>
        <v>984093.76</v>
      </c>
      <c r="Q38">
        <v>16</v>
      </c>
      <c r="R38">
        <v>19</v>
      </c>
      <c r="S38">
        <f t="shared" si="2"/>
        <v>3</v>
      </c>
      <c r="T38" t="str">
        <f t="shared" si="1"/>
        <v>No</v>
      </c>
      <c r="U38">
        <v>2999</v>
      </c>
      <c r="V38">
        <v>301</v>
      </c>
      <c r="W38">
        <v>376</v>
      </c>
      <c r="X38">
        <v>12</v>
      </c>
      <c r="Y38">
        <v>18</v>
      </c>
      <c r="Z38">
        <v>2978.48</v>
      </c>
      <c r="AA38">
        <v>1342</v>
      </c>
      <c r="AB38">
        <v>0.74</v>
      </c>
    </row>
    <row r="39" spans="1:28" x14ac:dyDescent="0.3">
      <c r="A39" t="s">
        <v>180</v>
      </c>
      <c r="B39">
        <v>45007</v>
      </c>
      <c r="C39" t="s">
        <v>144</v>
      </c>
      <c r="D39" t="s">
        <v>145</v>
      </c>
      <c r="E39" t="s">
        <v>76</v>
      </c>
      <c r="F39" t="s">
        <v>102</v>
      </c>
      <c r="G39" t="s">
        <v>181</v>
      </c>
      <c r="H39" t="s">
        <v>182</v>
      </c>
      <c r="I39" t="s">
        <v>126</v>
      </c>
      <c r="J39" t="s">
        <v>127</v>
      </c>
      <c r="K39" t="s">
        <v>70</v>
      </c>
      <c r="L39" t="s">
        <v>71</v>
      </c>
      <c r="M39" t="s">
        <v>72</v>
      </c>
      <c r="N39">
        <v>519</v>
      </c>
      <c r="O39">
        <v>203.08</v>
      </c>
      <c r="P39">
        <f t="shared" si="0"/>
        <v>105398.52</v>
      </c>
      <c r="Q39">
        <v>9</v>
      </c>
      <c r="R39">
        <v>10</v>
      </c>
      <c r="S39">
        <f t="shared" si="2"/>
        <v>1</v>
      </c>
      <c r="T39" t="str">
        <f t="shared" si="1"/>
        <v>No</v>
      </c>
      <c r="U39">
        <v>1908</v>
      </c>
      <c r="V39">
        <v>552</v>
      </c>
      <c r="W39">
        <v>619</v>
      </c>
      <c r="X39">
        <v>2.5</v>
      </c>
      <c r="Y39">
        <v>4</v>
      </c>
      <c r="Z39">
        <v>148.93</v>
      </c>
      <c r="AA39">
        <v>7863</v>
      </c>
      <c r="AB39">
        <v>0.93</v>
      </c>
    </row>
    <row r="40" spans="1:28" x14ac:dyDescent="0.3">
      <c r="A40" t="s">
        <v>183</v>
      </c>
      <c r="B40">
        <v>45008</v>
      </c>
      <c r="C40" t="s">
        <v>150</v>
      </c>
      <c r="D40" t="s">
        <v>151</v>
      </c>
      <c r="E40" t="s">
        <v>66</v>
      </c>
      <c r="F40" t="s">
        <v>117</v>
      </c>
      <c r="G40" t="s">
        <v>34</v>
      </c>
      <c r="H40" t="s">
        <v>35</v>
      </c>
      <c r="I40" t="s">
        <v>36</v>
      </c>
      <c r="J40" t="s">
        <v>37</v>
      </c>
      <c r="K40" t="s">
        <v>49</v>
      </c>
      <c r="L40" t="s">
        <v>50</v>
      </c>
      <c r="M40" t="s">
        <v>51</v>
      </c>
      <c r="N40">
        <v>474</v>
      </c>
      <c r="O40">
        <v>47.65</v>
      </c>
      <c r="P40">
        <f t="shared" si="0"/>
        <v>22586.1</v>
      </c>
      <c r="Q40">
        <v>16</v>
      </c>
      <c r="R40">
        <v>16</v>
      </c>
      <c r="S40">
        <f t="shared" si="2"/>
        <v>0</v>
      </c>
      <c r="T40" t="str">
        <f t="shared" si="1"/>
        <v>Yes</v>
      </c>
      <c r="U40">
        <v>1536</v>
      </c>
      <c r="V40">
        <v>344</v>
      </c>
      <c r="W40">
        <v>436</v>
      </c>
      <c r="X40">
        <v>1.5</v>
      </c>
      <c r="Y40">
        <v>2</v>
      </c>
      <c r="Z40">
        <v>35.28</v>
      </c>
      <c r="AA40">
        <v>6099</v>
      </c>
      <c r="AB40">
        <v>0.88</v>
      </c>
    </row>
    <row r="41" spans="1:28" x14ac:dyDescent="0.3">
      <c r="A41" t="s">
        <v>184</v>
      </c>
      <c r="B41">
        <v>45010</v>
      </c>
      <c r="C41" t="s">
        <v>30</v>
      </c>
      <c r="D41" t="s">
        <v>31</v>
      </c>
      <c r="E41" t="s">
        <v>32</v>
      </c>
      <c r="F41" t="s">
        <v>55</v>
      </c>
      <c r="G41" t="s">
        <v>67</v>
      </c>
      <c r="H41" t="s">
        <v>68</v>
      </c>
      <c r="I41" t="s">
        <v>58</v>
      </c>
      <c r="J41" t="s">
        <v>69</v>
      </c>
      <c r="K41" t="s">
        <v>93</v>
      </c>
      <c r="L41" t="s">
        <v>94</v>
      </c>
      <c r="M41" t="s">
        <v>95</v>
      </c>
      <c r="N41">
        <v>327</v>
      </c>
      <c r="O41">
        <v>14274.05</v>
      </c>
      <c r="P41">
        <f t="shared" si="0"/>
        <v>4667614.3499999996</v>
      </c>
      <c r="Q41">
        <v>27</v>
      </c>
      <c r="R41">
        <v>35</v>
      </c>
      <c r="S41">
        <f t="shared" si="2"/>
        <v>8</v>
      </c>
      <c r="T41" t="str">
        <f t="shared" si="1"/>
        <v>No</v>
      </c>
      <c r="U41">
        <v>1625</v>
      </c>
      <c r="V41">
        <v>148</v>
      </c>
      <c r="W41">
        <v>191</v>
      </c>
      <c r="X41">
        <v>25</v>
      </c>
      <c r="Y41">
        <v>35</v>
      </c>
      <c r="Z41">
        <v>8806.2900000000009</v>
      </c>
      <c r="AA41">
        <v>5078</v>
      </c>
      <c r="AB41">
        <v>0.81</v>
      </c>
    </row>
    <row r="42" spans="1:28" x14ac:dyDescent="0.3">
      <c r="A42" t="s">
        <v>185</v>
      </c>
      <c r="B42">
        <v>45014</v>
      </c>
      <c r="C42" t="s">
        <v>100</v>
      </c>
      <c r="D42" t="s">
        <v>101</v>
      </c>
      <c r="E42" t="s">
        <v>76</v>
      </c>
      <c r="F42" t="s">
        <v>55</v>
      </c>
      <c r="G42" t="s">
        <v>186</v>
      </c>
      <c r="H42" t="s">
        <v>187</v>
      </c>
      <c r="I42" t="s">
        <v>47</v>
      </c>
      <c r="J42" t="s">
        <v>48</v>
      </c>
      <c r="K42" t="s">
        <v>80</v>
      </c>
      <c r="L42" t="s">
        <v>81</v>
      </c>
      <c r="M42" t="s">
        <v>40</v>
      </c>
      <c r="N42">
        <v>361</v>
      </c>
      <c r="O42">
        <v>861.76</v>
      </c>
      <c r="P42">
        <f t="shared" si="0"/>
        <v>311095.36</v>
      </c>
      <c r="Q42">
        <v>11</v>
      </c>
      <c r="R42">
        <v>17</v>
      </c>
      <c r="S42">
        <f t="shared" si="2"/>
        <v>6</v>
      </c>
      <c r="T42" t="str">
        <f t="shared" si="1"/>
        <v>No</v>
      </c>
      <c r="U42">
        <v>1998</v>
      </c>
      <c r="V42">
        <v>259</v>
      </c>
      <c r="W42">
        <v>224</v>
      </c>
      <c r="X42">
        <v>4</v>
      </c>
      <c r="Y42">
        <v>6</v>
      </c>
      <c r="Z42">
        <v>641.49</v>
      </c>
      <c r="AA42">
        <v>4206</v>
      </c>
      <c r="AB42">
        <v>0.79</v>
      </c>
    </row>
    <row r="43" spans="1:28" x14ac:dyDescent="0.3">
      <c r="A43" t="s">
        <v>188</v>
      </c>
      <c r="B43">
        <v>45016</v>
      </c>
      <c r="C43" t="s">
        <v>106</v>
      </c>
      <c r="D43" t="s">
        <v>107</v>
      </c>
      <c r="E43" t="s">
        <v>76</v>
      </c>
      <c r="F43" t="s">
        <v>117</v>
      </c>
      <c r="G43" t="s">
        <v>45</v>
      </c>
      <c r="H43" t="s">
        <v>46</v>
      </c>
      <c r="I43" t="s">
        <v>47</v>
      </c>
      <c r="J43" t="s">
        <v>48</v>
      </c>
      <c r="K43" t="s">
        <v>70</v>
      </c>
      <c r="L43" t="s">
        <v>71</v>
      </c>
      <c r="M43" t="s">
        <v>72</v>
      </c>
      <c r="N43">
        <v>224</v>
      </c>
      <c r="O43">
        <v>2425.89</v>
      </c>
      <c r="P43">
        <f t="shared" si="0"/>
        <v>543399.36</v>
      </c>
      <c r="Q43">
        <v>23</v>
      </c>
      <c r="R43">
        <v>26</v>
      </c>
      <c r="S43">
        <f t="shared" si="2"/>
        <v>3</v>
      </c>
      <c r="T43" t="str">
        <f t="shared" si="1"/>
        <v>No</v>
      </c>
      <c r="U43">
        <v>2931</v>
      </c>
      <c r="V43">
        <v>231</v>
      </c>
      <c r="W43">
        <v>254</v>
      </c>
      <c r="X43">
        <v>7</v>
      </c>
      <c r="Y43">
        <v>10</v>
      </c>
      <c r="Z43">
        <v>1754.47</v>
      </c>
      <c r="AA43">
        <v>6929</v>
      </c>
      <c r="AB43">
        <v>0.76</v>
      </c>
    </row>
    <row r="44" spans="1:28" x14ac:dyDescent="0.3">
      <c r="A44" t="s">
        <v>189</v>
      </c>
      <c r="B44">
        <v>45019</v>
      </c>
      <c r="C44" t="s">
        <v>170</v>
      </c>
      <c r="D44" t="s">
        <v>171</v>
      </c>
      <c r="E44" t="s">
        <v>116</v>
      </c>
      <c r="F44" t="s">
        <v>117</v>
      </c>
      <c r="G44" t="s">
        <v>34</v>
      </c>
      <c r="H44" t="s">
        <v>35</v>
      </c>
      <c r="I44" t="s">
        <v>36</v>
      </c>
      <c r="J44" t="s">
        <v>37</v>
      </c>
      <c r="K44" t="s">
        <v>60</v>
      </c>
      <c r="L44" t="s">
        <v>61</v>
      </c>
      <c r="M44" t="s">
        <v>62</v>
      </c>
      <c r="N44">
        <v>176</v>
      </c>
      <c r="O44">
        <v>2059.89</v>
      </c>
      <c r="P44">
        <f t="shared" si="0"/>
        <v>362540.63999999996</v>
      </c>
      <c r="Q44">
        <v>29</v>
      </c>
      <c r="R44">
        <v>32</v>
      </c>
      <c r="S44">
        <f t="shared" si="2"/>
        <v>3</v>
      </c>
      <c r="T44" t="str">
        <f t="shared" si="1"/>
        <v>No</v>
      </c>
      <c r="U44">
        <v>2671</v>
      </c>
      <c r="V44">
        <v>100</v>
      </c>
      <c r="W44">
        <v>94</v>
      </c>
      <c r="X44">
        <v>7</v>
      </c>
      <c r="Y44">
        <v>10</v>
      </c>
      <c r="Z44">
        <v>1504.38</v>
      </c>
      <c r="AA44">
        <v>4704</v>
      </c>
      <c r="AB44">
        <v>0.71</v>
      </c>
    </row>
    <row r="45" spans="1:28" x14ac:dyDescent="0.3">
      <c r="A45" t="s">
        <v>190</v>
      </c>
      <c r="B45">
        <v>45020</v>
      </c>
      <c r="C45" t="s">
        <v>176</v>
      </c>
      <c r="D45" t="s">
        <v>177</v>
      </c>
      <c r="E45" t="s">
        <v>89</v>
      </c>
      <c r="F45" t="s">
        <v>55</v>
      </c>
      <c r="G45" t="s">
        <v>34</v>
      </c>
      <c r="H45" t="s">
        <v>35</v>
      </c>
      <c r="I45" t="s">
        <v>36</v>
      </c>
      <c r="J45" t="s">
        <v>37</v>
      </c>
      <c r="K45" t="s">
        <v>93</v>
      </c>
      <c r="L45" t="s">
        <v>94</v>
      </c>
      <c r="M45" t="s">
        <v>95</v>
      </c>
      <c r="N45">
        <v>474</v>
      </c>
      <c r="O45">
        <v>4137.9399999999996</v>
      </c>
      <c r="P45">
        <f t="shared" si="0"/>
        <v>1961383.5599999998</v>
      </c>
      <c r="Q45">
        <v>16</v>
      </c>
      <c r="R45">
        <v>22</v>
      </c>
      <c r="S45">
        <f t="shared" si="2"/>
        <v>6</v>
      </c>
      <c r="T45" t="str">
        <f t="shared" si="1"/>
        <v>No</v>
      </c>
      <c r="U45">
        <v>2344</v>
      </c>
      <c r="V45">
        <v>481</v>
      </c>
      <c r="W45">
        <v>682</v>
      </c>
      <c r="X45">
        <v>12</v>
      </c>
      <c r="Y45">
        <v>18</v>
      </c>
      <c r="Z45">
        <v>2611.52</v>
      </c>
      <c r="AA45">
        <v>6680</v>
      </c>
      <c r="AB45">
        <v>0.87</v>
      </c>
    </row>
    <row r="46" spans="1:28" x14ac:dyDescent="0.3">
      <c r="A46" t="s">
        <v>191</v>
      </c>
      <c r="B46">
        <v>45020</v>
      </c>
      <c r="C46" t="s">
        <v>158</v>
      </c>
      <c r="D46" t="s">
        <v>159</v>
      </c>
      <c r="E46" t="s">
        <v>89</v>
      </c>
      <c r="F46" t="s">
        <v>33</v>
      </c>
      <c r="G46" t="s">
        <v>192</v>
      </c>
      <c r="H46" t="s">
        <v>193</v>
      </c>
      <c r="I46" t="s">
        <v>47</v>
      </c>
      <c r="J46" t="s">
        <v>79</v>
      </c>
      <c r="K46" t="s">
        <v>97</v>
      </c>
      <c r="L46" t="s">
        <v>98</v>
      </c>
      <c r="M46" t="s">
        <v>51</v>
      </c>
      <c r="N46">
        <v>815</v>
      </c>
      <c r="O46">
        <v>6686.97</v>
      </c>
      <c r="P46">
        <f t="shared" si="0"/>
        <v>5449880.5499999998</v>
      </c>
      <c r="Q46">
        <v>9</v>
      </c>
      <c r="R46">
        <v>15</v>
      </c>
      <c r="S46">
        <f t="shared" si="2"/>
        <v>6</v>
      </c>
      <c r="T46" t="str">
        <f t="shared" si="1"/>
        <v>No</v>
      </c>
      <c r="U46">
        <v>301</v>
      </c>
      <c r="V46">
        <v>1056</v>
      </c>
      <c r="W46">
        <v>1254</v>
      </c>
      <c r="X46">
        <v>15</v>
      </c>
      <c r="Y46">
        <v>20</v>
      </c>
      <c r="Z46">
        <v>4796.3999999999996</v>
      </c>
      <c r="AA46">
        <v>7160</v>
      </c>
      <c r="AB46">
        <v>0.94</v>
      </c>
    </row>
    <row r="47" spans="1:28" x14ac:dyDescent="0.3">
      <c r="A47" t="s">
        <v>194</v>
      </c>
      <c r="B47">
        <v>45033</v>
      </c>
      <c r="C47" t="s">
        <v>195</v>
      </c>
      <c r="D47" t="s">
        <v>196</v>
      </c>
      <c r="E47" t="s">
        <v>116</v>
      </c>
      <c r="F47" t="s">
        <v>55</v>
      </c>
      <c r="G47" t="s">
        <v>77</v>
      </c>
      <c r="H47" t="s">
        <v>78</v>
      </c>
      <c r="I47" t="s">
        <v>47</v>
      </c>
      <c r="J47" t="s">
        <v>79</v>
      </c>
      <c r="K47" t="s">
        <v>38</v>
      </c>
      <c r="L47" t="s">
        <v>39</v>
      </c>
      <c r="M47" t="s">
        <v>40</v>
      </c>
      <c r="N47">
        <v>89</v>
      </c>
      <c r="O47">
        <v>911.52</v>
      </c>
      <c r="P47">
        <f t="shared" si="0"/>
        <v>81125.279999999999</v>
      </c>
      <c r="Q47">
        <v>15</v>
      </c>
      <c r="R47">
        <v>25</v>
      </c>
      <c r="S47">
        <f t="shared" si="2"/>
        <v>10</v>
      </c>
      <c r="T47" t="str">
        <f t="shared" si="1"/>
        <v>No</v>
      </c>
      <c r="U47">
        <v>383</v>
      </c>
      <c r="V47">
        <v>114</v>
      </c>
      <c r="W47">
        <v>144</v>
      </c>
      <c r="X47">
        <v>4</v>
      </c>
      <c r="Y47">
        <v>6</v>
      </c>
      <c r="Z47">
        <v>679.87</v>
      </c>
      <c r="AA47">
        <v>3250</v>
      </c>
      <c r="AB47">
        <v>0.83</v>
      </c>
    </row>
    <row r="48" spans="1:28" x14ac:dyDescent="0.3">
      <c r="A48" t="s">
        <v>197</v>
      </c>
      <c r="B48">
        <v>45035</v>
      </c>
      <c r="C48" t="s">
        <v>170</v>
      </c>
      <c r="D48" t="s">
        <v>171</v>
      </c>
      <c r="E48" t="s">
        <v>116</v>
      </c>
      <c r="F48" t="s">
        <v>33</v>
      </c>
      <c r="G48" t="s">
        <v>181</v>
      </c>
      <c r="H48" t="s">
        <v>182</v>
      </c>
      <c r="I48" t="s">
        <v>126</v>
      </c>
      <c r="J48" t="s">
        <v>127</v>
      </c>
      <c r="K48" t="s">
        <v>60</v>
      </c>
      <c r="L48" t="s">
        <v>61</v>
      </c>
      <c r="M48" t="s">
        <v>62</v>
      </c>
      <c r="N48">
        <v>166</v>
      </c>
      <c r="O48">
        <v>1837.94</v>
      </c>
      <c r="P48">
        <f t="shared" si="0"/>
        <v>305098.04000000004</v>
      </c>
      <c r="Q48">
        <v>10</v>
      </c>
      <c r="R48">
        <v>21</v>
      </c>
      <c r="S48">
        <f t="shared" si="2"/>
        <v>11</v>
      </c>
      <c r="T48" t="str">
        <f t="shared" si="1"/>
        <v>No</v>
      </c>
      <c r="U48">
        <v>22</v>
      </c>
      <c r="V48">
        <v>169</v>
      </c>
      <c r="W48">
        <v>193</v>
      </c>
      <c r="X48">
        <v>7</v>
      </c>
      <c r="Y48">
        <v>10</v>
      </c>
      <c r="Z48">
        <v>1143.8800000000001</v>
      </c>
      <c r="AA48">
        <v>3473</v>
      </c>
      <c r="AB48">
        <v>0.95</v>
      </c>
    </row>
    <row r="49" spans="1:28" x14ac:dyDescent="0.3">
      <c r="A49" t="s">
        <v>198</v>
      </c>
      <c r="B49">
        <v>45036</v>
      </c>
      <c r="C49" t="s">
        <v>74</v>
      </c>
      <c r="D49" t="s">
        <v>75</v>
      </c>
      <c r="E49" t="s">
        <v>76</v>
      </c>
      <c r="F49" t="s">
        <v>44</v>
      </c>
      <c r="G49" t="s">
        <v>192</v>
      </c>
      <c r="H49" t="s">
        <v>193</v>
      </c>
      <c r="I49" t="s">
        <v>47</v>
      </c>
      <c r="J49" t="s">
        <v>79</v>
      </c>
      <c r="K49" t="s">
        <v>80</v>
      </c>
      <c r="L49" t="s">
        <v>81</v>
      </c>
      <c r="M49" t="s">
        <v>40</v>
      </c>
      <c r="N49">
        <v>350</v>
      </c>
      <c r="O49">
        <v>355.33</v>
      </c>
      <c r="P49">
        <f t="shared" si="0"/>
        <v>124365.5</v>
      </c>
      <c r="Q49">
        <v>17</v>
      </c>
      <c r="R49">
        <v>25</v>
      </c>
      <c r="S49">
        <f t="shared" si="2"/>
        <v>8</v>
      </c>
      <c r="T49" t="str">
        <f t="shared" si="1"/>
        <v>No</v>
      </c>
      <c r="U49">
        <v>1391</v>
      </c>
      <c r="V49">
        <v>285</v>
      </c>
      <c r="W49">
        <v>392</v>
      </c>
      <c r="X49">
        <v>2</v>
      </c>
      <c r="Y49">
        <v>4</v>
      </c>
      <c r="Z49">
        <v>259.45999999999998</v>
      </c>
      <c r="AA49">
        <v>5369</v>
      </c>
      <c r="AB49">
        <v>0.74</v>
      </c>
    </row>
    <row r="50" spans="1:28" x14ac:dyDescent="0.3">
      <c r="A50" t="s">
        <v>199</v>
      </c>
      <c r="B50">
        <v>45036</v>
      </c>
      <c r="C50" t="s">
        <v>150</v>
      </c>
      <c r="D50" t="s">
        <v>151</v>
      </c>
      <c r="E50" t="s">
        <v>66</v>
      </c>
      <c r="F50" t="s">
        <v>102</v>
      </c>
      <c r="G50" t="s">
        <v>155</v>
      </c>
      <c r="H50" t="s">
        <v>156</v>
      </c>
      <c r="I50" t="s">
        <v>58</v>
      </c>
      <c r="J50" t="s">
        <v>92</v>
      </c>
      <c r="K50" t="s">
        <v>49</v>
      </c>
      <c r="L50" t="s">
        <v>50</v>
      </c>
      <c r="M50" t="s">
        <v>51</v>
      </c>
      <c r="N50">
        <v>598</v>
      </c>
      <c r="O50">
        <v>43.83</v>
      </c>
      <c r="P50">
        <f t="shared" si="0"/>
        <v>26210.34</v>
      </c>
      <c r="Q50">
        <v>27</v>
      </c>
      <c r="R50">
        <v>28</v>
      </c>
      <c r="S50">
        <f t="shared" si="2"/>
        <v>1</v>
      </c>
      <c r="T50" t="str">
        <f t="shared" si="1"/>
        <v>No</v>
      </c>
      <c r="U50">
        <v>2716</v>
      </c>
      <c r="V50">
        <v>463</v>
      </c>
      <c r="W50">
        <v>373</v>
      </c>
      <c r="X50">
        <v>1.5</v>
      </c>
      <c r="Y50">
        <v>2</v>
      </c>
      <c r="Z50">
        <v>33.880000000000003</v>
      </c>
      <c r="AA50">
        <v>6875</v>
      </c>
      <c r="AB50">
        <v>0.91</v>
      </c>
    </row>
    <row r="51" spans="1:28" x14ac:dyDescent="0.3">
      <c r="A51" t="s">
        <v>200</v>
      </c>
      <c r="B51">
        <v>45038</v>
      </c>
      <c r="C51" t="s">
        <v>106</v>
      </c>
      <c r="D51" t="s">
        <v>107</v>
      </c>
      <c r="E51" t="s">
        <v>76</v>
      </c>
      <c r="F51" t="s">
        <v>33</v>
      </c>
      <c r="G51" t="s">
        <v>201</v>
      </c>
      <c r="H51" t="s">
        <v>202</v>
      </c>
      <c r="I51" t="s">
        <v>203</v>
      </c>
      <c r="J51" t="s">
        <v>127</v>
      </c>
      <c r="K51" t="s">
        <v>70</v>
      </c>
      <c r="L51" t="s">
        <v>71</v>
      </c>
      <c r="M51" t="s">
        <v>72</v>
      </c>
      <c r="N51">
        <v>754</v>
      </c>
      <c r="O51">
        <v>2410.77</v>
      </c>
      <c r="P51">
        <f t="shared" si="0"/>
        <v>1817720.58</v>
      </c>
      <c r="Q51">
        <v>26</v>
      </c>
      <c r="R51">
        <v>33</v>
      </c>
      <c r="S51">
        <f t="shared" si="2"/>
        <v>7</v>
      </c>
      <c r="T51" t="str">
        <f t="shared" si="1"/>
        <v>No</v>
      </c>
      <c r="U51">
        <v>1896</v>
      </c>
      <c r="V51">
        <v>808</v>
      </c>
      <c r="W51">
        <v>664</v>
      </c>
      <c r="X51">
        <v>7</v>
      </c>
      <c r="Y51">
        <v>10</v>
      </c>
      <c r="Z51">
        <v>1927.94</v>
      </c>
      <c r="AA51">
        <v>7441</v>
      </c>
      <c r="AB51">
        <v>0.81</v>
      </c>
    </row>
    <row r="52" spans="1:28" x14ac:dyDescent="0.3">
      <c r="A52" t="s">
        <v>204</v>
      </c>
      <c r="B52">
        <v>45039</v>
      </c>
      <c r="C52" t="s">
        <v>74</v>
      </c>
      <c r="D52" t="s">
        <v>75</v>
      </c>
      <c r="E52" t="s">
        <v>76</v>
      </c>
      <c r="F52" t="s">
        <v>55</v>
      </c>
      <c r="G52" t="s">
        <v>160</v>
      </c>
      <c r="H52" t="s">
        <v>161</v>
      </c>
      <c r="I52" t="s">
        <v>47</v>
      </c>
      <c r="J52" t="s">
        <v>79</v>
      </c>
      <c r="K52" t="s">
        <v>80</v>
      </c>
      <c r="L52" t="s">
        <v>81</v>
      </c>
      <c r="M52" t="s">
        <v>40</v>
      </c>
      <c r="N52">
        <v>620</v>
      </c>
      <c r="O52">
        <v>293.08</v>
      </c>
      <c r="P52">
        <f t="shared" si="0"/>
        <v>181709.59999999998</v>
      </c>
      <c r="Q52">
        <v>17</v>
      </c>
      <c r="R52">
        <v>27</v>
      </c>
      <c r="S52">
        <f t="shared" si="2"/>
        <v>10</v>
      </c>
      <c r="T52" t="str">
        <f t="shared" si="1"/>
        <v>No</v>
      </c>
      <c r="U52">
        <v>2187</v>
      </c>
      <c r="V52">
        <v>373</v>
      </c>
      <c r="W52">
        <v>442</v>
      </c>
      <c r="X52">
        <v>2</v>
      </c>
      <c r="Y52">
        <v>4</v>
      </c>
      <c r="Z52">
        <v>231.09</v>
      </c>
      <c r="AA52">
        <v>6072</v>
      </c>
      <c r="AB52">
        <v>0.9</v>
      </c>
    </row>
    <row r="53" spans="1:28" x14ac:dyDescent="0.3">
      <c r="A53" t="s">
        <v>205</v>
      </c>
      <c r="B53">
        <v>45043</v>
      </c>
      <c r="C53" t="s">
        <v>87</v>
      </c>
      <c r="D53" t="s">
        <v>88</v>
      </c>
      <c r="E53" t="s">
        <v>89</v>
      </c>
      <c r="F53" t="s">
        <v>55</v>
      </c>
      <c r="G53" t="s">
        <v>206</v>
      </c>
      <c r="H53" t="s">
        <v>207</v>
      </c>
      <c r="I53" t="s">
        <v>126</v>
      </c>
      <c r="J53" t="s">
        <v>127</v>
      </c>
      <c r="K53" t="s">
        <v>178</v>
      </c>
      <c r="L53" t="s">
        <v>179</v>
      </c>
      <c r="M53" t="s">
        <v>62</v>
      </c>
      <c r="N53">
        <v>406</v>
      </c>
      <c r="O53">
        <v>9591.2800000000007</v>
      </c>
      <c r="P53">
        <f t="shared" si="0"/>
        <v>3894059.68</v>
      </c>
      <c r="Q53">
        <v>8</v>
      </c>
      <c r="R53">
        <v>13</v>
      </c>
      <c r="S53">
        <f t="shared" si="2"/>
        <v>5</v>
      </c>
      <c r="T53" t="str">
        <f t="shared" si="1"/>
        <v>No</v>
      </c>
      <c r="U53">
        <v>2903</v>
      </c>
      <c r="V53">
        <v>339</v>
      </c>
      <c r="W53">
        <v>507</v>
      </c>
      <c r="X53">
        <v>18</v>
      </c>
      <c r="Y53">
        <v>25</v>
      </c>
      <c r="Z53">
        <v>6302.58</v>
      </c>
      <c r="AA53">
        <v>4523</v>
      </c>
      <c r="AB53">
        <v>0.76</v>
      </c>
    </row>
    <row r="54" spans="1:28" x14ac:dyDescent="0.3">
      <c r="A54" t="s">
        <v>208</v>
      </c>
      <c r="B54">
        <v>45044</v>
      </c>
      <c r="C54" t="s">
        <v>122</v>
      </c>
      <c r="D54" t="s">
        <v>123</v>
      </c>
      <c r="E54" t="s">
        <v>89</v>
      </c>
      <c r="F54" t="s">
        <v>44</v>
      </c>
      <c r="G54" t="s">
        <v>141</v>
      </c>
      <c r="H54" t="s">
        <v>142</v>
      </c>
      <c r="I54" t="s">
        <v>47</v>
      </c>
      <c r="J54" t="s">
        <v>48</v>
      </c>
      <c r="K54" t="s">
        <v>178</v>
      </c>
      <c r="L54" t="s">
        <v>179</v>
      </c>
      <c r="M54" t="s">
        <v>62</v>
      </c>
      <c r="N54">
        <v>36</v>
      </c>
      <c r="O54">
        <v>2377.67</v>
      </c>
      <c r="P54">
        <f t="shared" si="0"/>
        <v>85596.12</v>
      </c>
      <c r="Q54">
        <v>23</v>
      </c>
      <c r="R54">
        <v>31</v>
      </c>
      <c r="S54">
        <f t="shared" si="2"/>
        <v>8</v>
      </c>
      <c r="T54" t="str">
        <f t="shared" si="1"/>
        <v>No</v>
      </c>
      <c r="U54">
        <v>2948</v>
      </c>
      <c r="V54">
        <v>19</v>
      </c>
      <c r="W54">
        <v>23</v>
      </c>
      <c r="X54">
        <v>8</v>
      </c>
      <c r="Y54">
        <v>12</v>
      </c>
      <c r="Z54">
        <v>1821.56</v>
      </c>
      <c r="AA54">
        <v>2489</v>
      </c>
      <c r="AB54">
        <v>0.73</v>
      </c>
    </row>
    <row r="55" spans="1:28" x14ac:dyDescent="0.3">
      <c r="A55" t="s">
        <v>209</v>
      </c>
      <c r="B55">
        <v>45044</v>
      </c>
      <c r="C55" t="s">
        <v>210</v>
      </c>
      <c r="D55" t="s">
        <v>211</v>
      </c>
      <c r="E55" t="s">
        <v>66</v>
      </c>
      <c r="F55" t="s">
        <v>33</v>
      </c>
      <c r="G55" t="s">
        <v>201</v>
      </c>
      <c r="H55" t="s">
        <v>202</v>
      </c>
      <c r="I55" t="s">
        <v>203</v>
      </c>
      <c r="J55" t="s">
        <v>127</v>
      </c>
      <c r="K55" t="s">
        <v>49</v>
      </c>
      <c r="L55" t="s">
        <v>50</v>
      </c>
      <c r="M55" t="s">
        <v>51</v>
      </c>
      <c r="N55">
        <v>875</v>
      </c>
      <c r="O55">
        <v>29.13</v>
      </c>
      <c r="P55">
        <f t="shared" si="0"/>
        <v>25488.75</v>
      </c>
      <c r="Q55">
        <v>29</v>
      </c>
      <c r="R55">
        <v>41</v>
      </c>
      <c r="S55">
        <f t="shared" si="2"/>
        <v>12</v>
      </c>
      <c r="T55" t="str">
        <f t="shared" si="1"/>
        <v>No</v>
      </c>
      <c r="U55">
        <v>2784</v>
      </c>
      <c r="V55">
        <v>937</v>
      </c>
      <c r="W55">
        <v>766</v>
      </c>
      <c r="X55">
        <v>1.2</v>
      </c>
      <c r="Y55">
        <v>2</v>
      </c>
      <c r="Z55">
        <v>22.89</v>
      </c>
      <c r="AA55">
        <v>7294</v>
      </c>
      <c r="AB55">
        <v>0.89</v>
      </c>
    </row>
    <row r="56" spans="1:28" x14ac:dyDescent="0.3">
      <c r="A56" t="s">
        <v>212</v>
      </c>
      <c r="B56">
        <v>45057</v>
      </c>
      <c r="C56" t="s">
        <v>122</v>
      </c>
      <c r="D56" t="s">
        <v>123</v>
      </c>
      <c r="E56" t="s">
        <v>89</v>
      </c>
      <c r="F56" t="s">
        <v>117</v>
      </c>
      <c r="G56" t="s">
        <v>124</v>
      </c>
      <c r="H56" t="s">
        <v>125</v>
      </c>
      <c r="I56" t="s">
        <v>126</v>
      </c>
      <c r="J56" t="s">
        <v>127</v>
      </c>
      <c r="K56" t="s">
        <v>178</v>
      </c>
      <c r="L56" t="s">
        <v>179</v>
      </c>
      <c r="M56" t="s">
        <v>62</v>
      </c>
      <c r="N56">
        <v>410</v>
      </c>
      <c r="O56">
        <v>2336.65</v>
      </c>
      <c r="P56">
        <f t="shared" si="0"/>
        <v>958026.5</v>
      </c>
      <c r="Q56">
        <v>29</v>
      </c>
      <c r="R56">
        <v>32</v>
      </c>
      <c r="S56">
        <f t="shared" si="2"/>
        <v>3</v>
      </c>
      <c r="T56" t="str">
        <f t="shared" si="1"/>
        <v>No</v>
      </c>
      <c r="U56">
        <v>765</v>
      </c>
      <c r="V56">
        <v>419</v>
      </c>
      <c r="W56">
        <v>605</v>
      </c>
      <c r="X56">
        <v>8</v>
      </c>
      <c r="Y56">
        <v>12</v>
      </c>
      <c r="Z56">
        <v>1854.14</v>
      </c>
      <c r="AA56">
        <v>2309</v>
      </c>
      <c r="AB56">
        <v>0.88</v>
      </c>
    </row>
    <row r="57" spans="1:28" x14ac:dyDescent="0.3">
      <c r="A57" t="s">
        <v>213</v>
      </c>
      <c r="B57">
        <v>45059</v>
      </c>
      <c r="C57" t="s">
        <v>144</v>
      </c>
      <c r="D57" t="s">
        <v>145</v>
      </c>
      <c r="E57" t="s">
        <v>76</v>
      </c>
      <c r="F57" t="s">
        <v>117</v>
      </c>
      <c r="G57" t="s">
        <v>164</v>
      </c>
      <c r="H57" t="s">
        <v>165</v>
      </c>
      <c r="I57" t="s">
        <v>47</v>
      </c>
      <c r="J57" t="s">
        <v>48</v>
      </c>
      <c r="K57" t="s">
        <v>80</v>
      </c>
      <c r="L57" t="s">
        <v>81</v>
      </c>
      <c r="M57" t="s">
        <v>40</v>
      </c>
      <c r="N57">
        <v>417</v>
      </c>
      <c r="O57">
        <v>206.98</v>
      </c>
      <c r="P57">
        <f t="shared" si="0"/>
        <v>86310.659999999989</v>
      </c>
      <c r="Q57">
        <v>28</v>
      </c>
      <c r="R57">
        <v>38</v>
      </c>
      <c r="S57">
        <f t="shared" si="2"/>
        <v>10</v>
      </c>
      <c r="T57" t="str">
        <f t="shared" si="1"/>
        <v>No</v>
      </c>
      <c r="U57">
        <v>1702</v>
      </c>
      <c r="V57">
        <v>509</v>
      </c>
      <c r="W57">
        <v>700</v>
      </c>
      <c r="X57">
        <v>2.5</v>
      </c>
      <c r="Y57">
        <v>4</v>
      </c>
      <c r="Z57">
        <v>127.24</v>
      </c>
      <c r="AA57">
        <v>3097</v>
      </c>
      <c r="AB57">
        <v>0.88</v>
      </c>
    </row>
    <row r="58" spans="1:28" x14ac:dyDescent="0.3">
      <c r="A58" t="s">
        <v>214</v>
      </c>
      <c r="B58">
        <v>45065</v>
      </c>
      <c r="C58" t="s">
        <v>53</v>
      </c>
      <c r="D58" t="s">
        <v>54</v>
      </c>
      <c r="E58" t="s">
        <v>32</v>
      </c>
      <c r="F58" t="s">
        <v>102</v>
      </c>
      <c r="G58" t="s">
        <v>119</v>
      </c>
      <c r="H58" t="s">
        <v>120</v>
      </c>
      <c r="I58" t="s">
        <v>58</v>
      </c>
      <c r="J58" t="s">
        <v>59</v>
      </c>
      <c r="K58" t="s">
        <v>49</v>
      </c>
      <c r="L58" t="s">
        <v>50</v>
      </c>
      <c r="M58" t="s">
        <v>51</v>
      </c>
      <c r="N58">
        <v>99</v>
      </c>
      <c r="O58">
        <v>496.18</v>
      </c>
      <c r="P58">
        <f t="shared" si="0"/>
        <v>49121.82</v>
      </c>
      <c r="Q58">
        <v>15</v>
      </c>
      <c r="R58">
        <v>17</v>
      </c>
      <c r="S58">
        <f t="shared" si="2"/>
        <v>2</v>
      </c>
      <c r="T58" t="str">
        <f t="shared" si="1"/>
        <v>No</v>
      </c>
      <c r="U58">
        <v>2272</v>
      </c>
      <c r="V58">
        <v>94</v>
      </c>
      <c r="W58">
        <v>133</v>
      </c>
      <c r="X58">
        <v>3</v>
      </c>
      <c r="Y58">
        <v>5</v>
      </c>
      <c r="Z58">
        <v>382.2</v>
      </c>
      <c r="AA58">
        <v>6331</v>
      </c>
      <c r="AB58">
        <v>0.9</v>
      </c>
    </row>
    <row r="59" spans="1:28" x14ac:dyDescent="0.3">
      <c r="A59" t="s">
        <v>215</v>
      </c>
      <c r="B59">
        <v>45066</v>
      </c>
      <c r="C59" t="s">
        <v>53</v>
      </c>
      <c r="D59" t="s">
        <v>54</v>
      </c>
      <c r="E59" t="s">
        <v>32</v>
      </c>
      <c r="F59" t="s">
        <v>44</v>
      </c>
      <c r="G59" t="s">
        <v>45</v>
      </c>
      <c r="H59" t="s">
        <v>46</v>
      </c>
      <c r="I59" t="s">
        <v>47</v>
      </c>
      <c r="J59" t="s">
        <v>48</v>
      </c>
      <c r="K59" t="s">
        <v>49</v>
      </c>
      <c r="L59" t="s">
        <v>50</v>
      </c>
      <c r="M59" t="s">
        <v>51</v>
      </c>
      <c r="N59">
        <v>358</v>
      </c>
      <c r="O59">
        <v>510.1</v>
      </c>
      <c r="P59">
        <f t="shared" si="0"/>
        <v>182615.80000000002</v>
      </c>
      <c r="Q59">
        <v>21</v>
      </c>
      <c r="R59">
        <v>22</v>
      </c>
      <c r="S59">
        <f t="shared" si="2"/>
        <v>1</v>
      </c>
      <c r="T59" t="str">
        <f t="shared" si="1"/>
        <v>No</v>
      </c>
      <c r="U59">
        <v>1178</v>
      </c>
      <c r="V59">
        <v>419</v>
      </c>
      <c r="W59">
        <v>580</v>
      </c>
      <c r="X59">
        <v>3</v>
      </c>
      <c r="Y59">
        <v>5</v>
      </c>
      <c r="Z59">
        <v>365.23</v>
      </c>
      <c r="AA59">
        <v>5906</v>
      </c>
      <c r="AB59">
        <v>0.84</v>
      </c>
    </row>
    <row r="60" spans="1:28" x14ac:dyDescent="0.3">
      <c r="A60" t="s">
        <v>216</v>
      </c>
      <c r="B60">
        <v>45069</v>
      </c>
      <c r="C60" t="s">
        <v>150</v>
      </c>
      <c r="D60" t="s">
        <v>151</v>
      </c>
      <c r="E60" t="s">
        <v>66</v>
      </c>
      <c r="F60" t="s">
        <v>33</v>
      </c>
      <c r="G60" t="s">
        <v>90</v>
      </c>
      <c r="H60" t="s">
        <v>91</v>
      </c>
      <c r="I60" t="s">
        <v>58</v>
      </c>
      <c r="J60" t="s">
        <v>92</v>
      </c>
      <c r="K60" t="s">
        <v>49</v>
      </c>
      <c r="L60" t="s">
        <v>50</v>
      </c>
      <c r="M60" t="s">
        <v>51</v>
      </c>
      <c r="N60">
        <v>774</v>
      </c>
      <c r="O60">
        <v>47.08</v>
      </c>
      <c r="P60">
        <f t="shared" si="0"/>
        <v>36439.919999999998</v>
      </c>
      <c r="Q60">
        <v>23</v>
      </c>
      <c r="R60">
        <v>30</v>
      </c>
      <c r="S60">
        <f t="shared" si="2"/>
        <v>7</v>
      </c>
      <c r="T60" t="str">
        <f t="shared" si="1"/>
        <v>No</v>
      </c>
      <c r="U60">
        <v>918</v>
      </c>
      <c r="V60">
        <v>1158</v>
      </c>
      <c r="W60">
        <v>1038</v>
      </c>
      <c r="X60">
        <v>1.5</v>
      </c>
      <c r="Y60">
        <v>2</v>
      </c>
      <c r="Z60">
        <v>32.89</v>
      </c>
      <c r="AA60">
        <v>6691</v>
      </c>
      <c r="AB60">
        <v>0.71</v>
      </c>
    </row>
    <row r="61" spans="1:28" x14ac:dyDescent="0.3">
      <c r="A61" t="s">
        <v>217</v>
      </c>
      <c r="B61">
        <v>45070</v>
      </c>
      <c r="C61" t="s">
        <v>100</v>
      </c>
      <c r="D61" t="s">
        <v>101</v>
      </c>
      <c r="E61" t="s">
        <v>76</v>
      </c>
      <c r="F61" t="s">
        <v>117</v>
      </c>
      <c r="G61" t="s">
        <v>218</v>
      </c>
      <c r="H61" t="s">
        <v>219</v>
      </c>
      <c r="I61" t="s">
        <v>58</v>
      </c>
      <c r="J61" t="s">
        <v>59</v>
      </c>
      <c r="K61" t="s">
        <v>70</v>
      </c>
      <c r="L61" t="s">
        <v>71</v>
      </c>
      <c r="M61" t="s">
        <v>72</v>
      </c>
      <c r="N61">
        <v>143</v>
      </c>
      <c r="O61">
        <v>807.1</v>
      </c>
      <c r="P61">
        <f t="shared" si="0"/>
        <v>115415.3</v>
      </c>
      <c r="Q61">
        <v>17</v>
      </c>
      <c r="R61">
        <v>28</v>
      </c>
      <c r="S61">
        <f t="shared" si="2"/>
        <v>11</v>
      </c>
      <c r="T61" t="str">
        <f t="shared" si="1"/>
        <v>No</v>
      </c>
      <c r="U61">
        <v>2601</v>
      </c>
      <c r="V61">
        <v>203</v>
      </c>
      <c r="W61">
        <v>174</v>
      </c>
      <c r="X61">
        <v>4</v>
      </c>
      <c r="Y61">
        <v>6</v>
      </c>
      <c r="Z61">
        <v>578.87</v>
      </c>
      <c r="AA61">
        <v>7158</v>
      </c>
      <c r="AB61">
        <v>0.72</v>
      </c>
    </row>
    <row r="62" spans="1:28" x14ac:dyDescent="0.3">
      <c r="A62" t="s">
        <v>220</v>
      </c>
      <c r="B62">
        <v>45072</v>
      </c>
      <c r="C62" t="s">
        <v>210</v>
      </c>
      <c r="D62" t="s">
        <v>211</v>
      </c>
      <c r="E62" t="s">
        <v>66</v>
      </c>
      <c r="F62" t="s">
        <v>117</v>
      </c>
      <c r="G62" t="s">
        <v>218</v>
      </c>
      <c r="H62" t="s">
        <v>219</v>
      </c>
      <c r="I62" t="s">
        <v>58</v>
      </c>
      <c r="J62" t="s">
        <v>59</v>
      </c>
      <c r="K62" t="s">
        <v>70</v>
      </c>
      <c r="L62" t="s">
        <v>71</v>
      </c>
      <c r="M62" t="s">
        <v>72</v>
      </c>
      <c r="N62">
        <v>928</v>
      </c>
      <c r="O62">
        <v>31.12</v>
      </c>
      <c r="P62">
        <f t="shared" si="0"/>
        <v>28879.360000000001</v>
      </c>
      <c r="Q62">
        <v>18</v>
      </c>
      <c r="R62">
        <v>26</v>
      </c>
      <c r="S62">
        <f t="shared" si="2"/>
        <v>8</v>
      </c>
      <c r="T62" t="str">
        <f t="shared" si="1"/>
        <v>No</v>
      </c>
      <c r="U62">
        <v>367</v>
      </c>
      <c r="V62">
        <v>925</v>
      </c>
      <c r="W62">
        <v>1067</v>
      </c>
      <c r="X62">
        <v>1.2</v>
      </c>
      <c r="Y62">
        <v>2</v>
      </c>
      <c r="Z62">
        <v>22.64</v>
      </c>
      <c r="AA62">
        <v>3730</v>
      </c>
      <c r="AB62">
        <v>0.72</v>
      </c>
    </row>
    <row r="63" spans="1:28" x14ac:dyDescent="0.3">
      <c r="A63" t="s">
        <v>221</v>
      </c>
      <c r="B63">
        <v>45073</v>
      </c>
      <c r="C63" t="s">
        <v>176</v>
      </c>
      <c r="D63" t="s">
        <v>177</v>
      </c>
      <c r="E63" t="s">
        <v>89</v>
      </c>
      <c r="F63" t="s">
        <v>55</v>
      </c>
      <c r="G63" t="s">
        <v>103</v>
      </c>
      <c r="H63" t="s">
        <v>104</v>
      </c>
      <c r="I63" t="s">
        <v>47</v>
      </c>
      <c r="J63" t="s">
        <v>79</v>
      </c>
      <c r="K63" t="s">
        <v>93</v>
      </c>
      <c r="L63" t="s">
        <v>94</v>
      </c>
      <c r="M63" t="s">
        <v>95</v>
      </c>
      <c r="N63">
        <v>291</v>
      </c>
      <c r="O63">
        <v>3844.01</v>
      </c>
      <c r="P63">
        <f t="shared" si="0"/>
        <v>1118606.9100000001</v>
      </c>
      <c r="Q63">
        <v>23</v>
      </c>
      <c r="R63">
        <v>33</v>
      </c>
      <c r="S63">
        <f t="shared" si="2"/>
        <v>10</v>
      </c>
      <c r="T63" t="str">
        <f t="shared" si="1"/>
        <v>No</v>
      </c>
      <c r="U63">
        <v>2800</v>
      </c>
      <c r="V63">
        <v>236</v>
      </c>
      <c r="W63">
        <v>270</v>
      </c>
      <c r="X63">
        <v>12</v>
      </c>
      <c r="Y63">
        <v>18</v>
      </c>
      <c r="Z63">
        <v>3053.9</v>
      </c>
      <c r="AA63">
        <v>5770</v>
      </c>
      <c r="AB63">
        <v>0.89</v>
      </c>
    </row>
    <row r="64" spans="1:28" x14ac:dyDescent="0.3">
      <c r="A64" t="s">
        <v>222</v>
      </c>
      <c r="B64">
        <v>45075</v>
      </c>
      <c r="C64" t="s">
        <v>223</v>
      </c>
      <c r="D64" t="s">
        <v>224</v>
      </c>
      <c r="E64" t="s">
        <v>32</v>
      </c>
      <c r="F64" t="s">
        <v>117</v>
      </c>
      <c r="G64" t="s">
        <v>225</v>
      </c>
      <c r="H64" t="s">
        <v>226</v>
      </c>
      <c r="I64" t="s">
        <v>36</v>
      </c>
      <c r="J64" t="s">
        <v>37</v>
      </c>
      <c r="K64" t="s">
        <v>93</v>
      </c>
      <c r="L64" t="s">
        <v>94</v>
      </c>
      <c r="M64" t="s">
        <v>95</v>
      </c>
      <c r="N64">
        <v>778</v>
      </c>
      <c r="O64">
        <v>1315.66</v>
      </c>
      <c r="P64">
        <f t="shared" si="0"/>
        <v>1023583.4800000001</v>
      </c>
      <c r="Q64">
        <v>14</v>
      </c>
      <c r="R64">
        <v>17</v>
      </c>
      <c r="S64">
        <f t="shared" si="2"/>
        <v>3</v>
      </c>
      <c r="T64" t="str">
        <f t="shared" si="1"/>
        <v>No</v>
      </c>
      <c r="U64">
        <v>274</v>
      </c>
      <c r="V64">
        <v>878</v>
      </c>
      <c r="W64">
        <v>883</v>
      </c>
      <c r="X64">
        <v>5</v>
      </c>
      <c r="Y64">
        <v>8</v>
      </c>
      <c r="Z64">
        <v>987.69</v>
      </c>
      <c r="AA64">
        <v>764</v>
      </c>
      <c r="AB64">
        <v>0.8</v>
      </c>
    </row>
    <row r="65" spans="1:28" x14ac:dyDescent="0.3">
      <c r="A65" t="s">
        <v>227</v>
      </c>
      <c r="B65">
        <v>45078</v>
      </c>
      <c r="C65" t="s">
        <v>30</v>
      </c>
      <c r="D65" t="s">
        <v>31</v>
      </c>
      <c r="E65" t="s">
        <v>32</v>
      </c>
      <c r="F65" t="s">
        <v>55</v>
      </c>
      <c r="G65" t="s">
        <v>45</v>
      </c>
      <c r="H65" t="s">
        <v>46</v>
      </c>
      <c r="I65" t="s">
        <v>47</v>
      </c>
      <c r="J65" t="s">
        <v>48</v>
      </c>
      <c r="K65" t="s">
        <v>97</v>
      </c>
      <c r="L65" t="s">
        <v>98</v>
      </c>
      <c r="M65" t="s">
        <v>51</v>
      </c>
      <c r="N65">
        <v>876</v>
      </c>
      <c r="O65">
        <v>12894.67</v>
      </c>
      <c r="P65">
        <f t="shared" si="0"/>
        <v>11295730.92</v>
      </c>
      <c r="Q65">
        <v>16</v>
      </c>
      <c r="R65">
        <v>20</v>
      </c>
      <c r="S65">
        <f t="shared" si="2"/>
        <v>4</v>
      </c>
      <c r="T65" t="str">
        <f t="shared" si="1"/>
        <v>No</v>
      </c>
      <c r="U65">
        <v>2905</v>
      </c>
      <c r="V65">
        <v>1252</v>
      </c>
      <c r="W65">
        <v>1348</v>
      </c>
      <c r="X65">
        <v>25</v>
      </c>
      <c r="Y65">
        <v>35</v>
      </c>
      <c r="Z65">
        <v>7997.36</v>
      </c>
      <c r="AA65">
        <v>2972</v>
      </c>
      <c r="AB65">
        <v>0.79</v>
      </c>
    </row>
    <row r="66" spans="1:28" x14ac:dyDescent="0.3">
      <c r="A66" t="s">
        <v>228</v>
      </c>
      <c r="B66">
        <v>45079</v>
      </c>
      <c r="C66" t="s">
        <v>106</v>
      </c>
      <c r="D66" t="s">
        <v>107</v>
      </c>
      <c r="E66" t="s">
        <v>76</v>
      </c>
      <c r="F66" t="s">
        <v>33</v>
      </c>
      <c r="G66" t="s">
        <v>206</v>
      </c>
      <c r="H66" t="s">
        <v>207</v>
      </c>
      <c r="I66" t="s">
        <v>126</v>
      </c>
      <c r="J66" t="s">
        <v>127</v>
      </c>
      <c r="K66" t="s">
        <v>80</v>
      </c>
      <c r="L66" t="s">
        <v>81</v>
      </c>
      <c r="M66" t="s">
        <v>40</v>
      </c>
      <c r="N66">
        <v>350</v>
      </c>
      <c r="O66">
        <v>2283.5500000000002</v>
      </c>
      <c r="P66">
        <f t="shared" si="0"/>
        <v>799242.50000000012</v>
      </c>
      <c r="Q66">
        <v>22</v>
      </c>
      <c r="R66">
        <v>31</v>
      </c>
      <c r="S66">
        <f t="shared" si="2"/>
        <v>9</v>
      </c>
      <c r="T66" t="str">
        <f t="shared" si="1"/>
        <v>No</v>
      </c>
      <c r="U66">
        <v>1338</v>
      </c>
      <c r="V66">
        <v>470</v>
      </c>
      <c r="W66">
        <v>698</v>
      </c>
      <c r="X66">
        <v>7</v>
      </c>
      <c r="Y66">
        <v>10</v>
      </c>
      <c r="Z66">
        <v>1479.2</v>
      </c>
      <c r="AA66">
        <v>3637</v>
      </c>
      <c r="AB66">
        <v>0.77</v>
      </c>
    </row>
    <row r="67" spans="1:28" x14ac:dyDescent="0.3">
      <c r="A67" t="s">
        <v>229</v>
      </c>
      <c r="B67">
        <v>45082</v>
      </c>
      <c r="C67" t="s">
        <v>230</v>
      </c>
      <c r="D67" t="s">
        <v>231</v>
      </c>
      <c r="E67" t="s">
        <v>89</v>
      </c>
      <c r="F67" t="s">
        <v>33</v>
      </c>
      <c r="G67" t="s">
        <v>56</v>
      </c>
      <c r="H67" t="s">
        <v>57</v>
      </c>
      <c r="I67" t="s">
        <v>58</v>
      </c>
      <c r="J67" t="s">
        <v>59</v>
      </c>
      <c r="K67" t="s">
        <v>93</v>
      </c>
      <c r="L67" t="s">
        <v>94</v>
      </c>
      <c r="M67" t="s">
        <v>95</v>
      </c>
      <c r="N67">
        <v>890</v>
      </c>
      <c r="O67">
        <v>1431.47</v>
      </c>
      <c r="P67">
        <f t="shared" si="0"/>
        <v>1274008.3</v>
      </c>
      <c r="Q67">
        <v>8</v>
      </c>
      <c r="R67">
        <v>9</v>
      </c>
      <c r="S67">
        <f t="shared" si="2"/>
        <v>1</v>
      </c>
      <c r="T67" t="str">
        <f t="shared" si="1"/>
        <v>No</v>
      </c>
      <c r="U67">
        <v>2434</v>
      </c>
      <c r="V67">
        <v>1046</v>
      </c>
      <c r="W67">
        <v>1094</v>
      </c>
      <c r="X67">
        <v>5</v>
      </c>
      <c r="Y67">
        <v>7</v>
      </c>
      <c r="Z67">
        <v>981.81</v>
      </c>
      <c r="AA67">
        <v>6980</v>
      </c>
      <c r="AB67">
        <v>0.74</v>
      </c>
    </row>
    <row r="68" spans="1:28" x14ac:dyDescent="0.3">
      <c r="A68" t="s">
        <v>232</v>
      </c>
      <c r="B68">
        <v>45088</v>
      </c>
      <c r="C68" t="s">
        <v>106</v>
      </c>
      <c r="D68" t="s">
        <v>107</v>
      </c>
      <c r="E68" t="s">
        <v>76</v>
      </c>
      <c r="F68" t="s">
        <v>102</v>
      </c>
      <c r="G68" t="s">
        <v>192</v>
      </c>
      <c r="H68" t="s">
        <v>193</v>
      </c>
      <c r="I68" t="s">
        <v>47</v>
      </c>
      <c r="J68" t="s">
        <v>79</v>
      </c>
      <c r="K68" t="s">
        <v>80</v>
      </c>
      <c r="L68" t="s">
        <v>81</v>
      </c>
      <c r="M68" t="s">
        <v>40</v>
      </c>
      <c r="N68">
        <v>217</v>
      </c>
      <c r="O68">
        <v>2527.63</v>
      </c>
      <c r="P68">
        <f t="shared" si="0"/>
        <v>548495.71000000008</v>
      </c>
      <c r="Q68">
        <v>9</v>
      </c>
      <c r="R68">
        <v>12</v>
      </c>
      <c r="S68">
        <f t="shared" si="2"/>
        <v>3</v>
      </c>
      <c r="T68" t="str">
        <f t="shared" si="1"/>
        <v>No</v>
      </c>
      <c r="U68">
        <v>1142</v>
      </c>
      <c r="V68">
        <v>89</v>
      </c>
      <c r="W68">
        <v>93</v>
      </c>
      <c r="X68">
        <v>7</v>
      </c>
      <c r="Y68">
        <v>10</v>
      </c>
      <c r="Z68">
        <v>1558.24</v>
      </c>
      <c r="AA68">
        <v>5943</v>
      </c>
      <c r="AB68">
        <v>0.95</v>
      </c>
    </row>
    <row r="69" spans="1:28" x14ac:dyDescent="0.3">
      <c r="A69" t="s">
        <v>233</v>
      </c>
      <c r="B69">
        <v>45088</v>
      </c>
      <c r="C69" t="s">
        <v>230</v>
      </c>
      <c r="D69" t="s">
        <v>231</v>
      </c>
      <c r="E69" t="s">
        <v>89</v>
      </c>
      <c r="F69" t="s">
        <v>102</v>
      </c>
      <c r="G69" t="s">
        <v>129</v>
      </c>
      <c r="H69" t="s">
        <v>130</v>
      </c>
      <c r="I69" t="s">
        <v>47</v>
      </c>
      <c r="J69" t="s">
        <v>79</v>
      </c>
      <c r="K69" t="s">
        <v>93</v>
      </c>
      <c r="L69" t="s">
        <v>94</v>
      </c>
      <c r="M69" t="s">
        <v>95</v>
      </c>
      <c r="N69">
        <v>188</v>
      </c>
      <c r="O69">
        <v>1615.19</v>
      </c>
      <c r="P69">
        <f t="shared" si="0"/>
        <v>303655.72000000003</v>
      </c>
      <c r="Q69">
        <v>22</v>
      </c>
      <c r="R69">
        <v>30</v>
      </c>
      <c r="S69">
        <f t="shared" si="2"/>
        <v>8</v>
      </c>
      <c r="T69" t="str">
        <f t="shared" si="1"/>
        <v>No</v>
      </c>
      <c r="U69">
        <v>934</v>
      </c>
      <c r="V69">
        <v>206</v>
      </c>
      <c r="W69">
        <v>282</v>
      </c>
      <c r="X69">
        <v>5</v>
      </c>
      <c r="Y69">
        <v>7</v>
      </c>
      <c r="Z69">
        <v>1091.3499999999999</v>
      </c>
      <c r="AA69">
        <v>6512</v>
      </c>
      <c r="AB69">
        <v>0.89</v>
      </c>
    </row>
    <row r="70" spans="1:28" x14ac:dyDescent="0.3">
      <c r="A70" t="s">
        <v>234</v>
      </c>
      <c r="B70">
        <v>45096</v>
      </c>
      <c r="C70" t="s">
        <v>106</v>
      </c>
      <c r="D70" t="s">
        <v>107</v>
      </c>
      <c r="E70" t="s">
        <v>76</v>
      </c>
      <c r="F70" t="s">
        <v>117</v>
      </c>
      <c r="G70" t="s">
        <v>103</v>
      </c>
      <c r="H70" t="s">
        <v>104</v>
      </c>
      <c r="I70" t="s">
        <v>47</v>
      </c>
      <c r="J70" t="s">
        <v>79</v>
      </c>
      <c r="K70" t="s">
        <v>80</v>
      </c>
      <c r="L70" t="s">
        <v>81</v>
      </c>
      <c r="M70" t="s">
        <v>40</v>
      </c>
      <c r="N70">
        <v>702</v>
      </c>
      <c r="O70">
        <v>2375.77</v>
      </c>
      <c r="P70">
        <f t="shared" si="0"/>
        <v>1667790.54</v>
      </c>
      <c r="Q70">
        <v>19</v>
      </c>
      <c r="R70">
        <v>26</v>
      </c>
      <c r="S70">
        <f t="shared" si="2"/>
        <v>7</v>
      </c>
      <c r="T70" t="str">
        <f t="shared" si="1"/>
        <v>No</v>
      </c>
      <c r="U70">
        <v>1858</v>
      </c>
      <c r="V70">
        <v>407</v>
      </c>
      <c r="W70">
        <v>393</v>
      </c>
      <c r="X70">
        <v>7</v>
      </c>
      <c r="Y70">
        <v>10</v>
      </c>
      <c r="Z70">
        <v>1884.27</v>
      </c>
      <c r="AA70">
        <v>6925</v>
      </c>
      <c r="AB70">
        <v>0.83</v>
      </c>
    </row>
    <row r="71" spans="1:28" x14ac:dyDescent="0.3">
      <c r="A71" t="s">
        <v>235</v>
      </c>
      <c r="B71">
        <v>45096</v>
      </c>
      <c r="C71" t="s">
        <v>223</v>
      </c>
      <c r="D71" t="s">
        <v>224</v>
      </c>
      <c r="E71" t="s">
        <v>32</v>
      </c>
      <c r="F71" t="s">
        <v>102</v>
      </c>
      <c r="G71" t="s">
        <v>129</v>
      </c>
      <c r="H71" t="s">
        <v>130</v>
      </c>
      <c r="I71" t="s">
        <v>47</v>
      </c>
      <c r="J71" t="s">
        <v>79</v>
      </c>
      <c r="K71" t="s">
        <v>93</v>
      </c>
      <c r="L71" t="s">
        <v>94</v>
      </c>
      <c r="M71" t="s">
        <v>95</v>
      </c>
      <c r="N71">
        <v>753</v>
      </c>
      <c r="O71">
        <v>1289.83</v>
      </c>
      <c r="P71">
        <f t="shared" si="0"/>
        <v>971241.99</v>
      </c>
      <c r="Q71">
        <v>12</v>
      </c>
      <c r="R71">
        <v>24</v>
      </c>
      <c r="S71">
        <f t="shared" si="2"/>
        <v>12</v>
      </c>
      <c r="T71" t="str">
        <f t="shared" si="1"/>
        <v>No</v>
      </c>
      <c r="U71">
        <v>393</v>
      </c>
      <c r="V71">
        <v>861</v>
      </c>
      <c r="W71">
        <v>689</v>
      </c>
      <c r="X71">
        <v>5</v>
      </c>
      <c r="Y71">
        <v>8</v>
      </c>
      <c r="Z71">
        <v>896.9</v>
      </c>
      <c r="AA71">
        <v>1587</v>
      </c>
      <c r="AB71">
        <v>0.87</v>
      </c>
    </row>
    <row r="72" spans="1:28" x14ac:dyDescent="0.3">
      <c r="A72" t="s">
        <v>236</v>
      </c>
      <c r="B72">
        <v>45097</v>
      </c>
      <c r="C72" t="s">
        <v>170</v>
      </c>
      <c r="D72" t="s">
        <v>171</v>
      </c>
      <c r="E72" t="s">
        <v>116</v>
      </c>
      <c r="F72" t="s">
        <v>117</v>
      </c>
      <c r="G72" t="s">
        <v>218</v>
      </c>
      <c r="H72" t="s">
        <v>219</v>
      </c>
      <c r="I72" t="s">
        <v>58</v>
      </c>
      <c r="J72" t="s">
        <v>59</v>
      </c>
      <c r="K72" t="s">
        <v>80</v>
      </c>
      <c r="L72" t="s">
        <v>81</v>
      </c>
      <c r="M72" t="s">
        <v>40</v>
      </c>
      <c r="N72">
        <v>825</v>
      </c>
      <c r="O72">
        <v>1690.96</v>
      </c>
      <c r="P72">
        <f t="shared" si="0"/>
        <v>1395042</v>
      </c>
      <c r="Q72">
        <v>16</v>
      </c>
      <c r="R72">
        <v>23</v>
      </c>
      <c r="S72">
        <f t="shared" si="2"/>
        <v>7</v>
      </c>
      <c r="T72" t="str">
        <f t="shared" si="1"/>
        <v>No</v>
      </c>
      <c r="U72">
        <v>616</v>
      </c>
      <c r="V72">
        <v>489</v>
      </c>
      <c r="W72">
        <v>532</v>
      </c>
      <c r="X72">
        <v>7</v>
      </c>
      <c r="Y72">
        <v>10</v>
      </c>
      <c r="Z72">
        <v>1245.1500000000001</v>
      </c>
      <c r="AA72">
        <v>1975</v>
      </c>
      <c r="AB72">
        <v>0.75</v>
      </c>
    </row>
    <row r="73" spans="1:28" x14ac:dyDescent="0.3">
      <c r="A73" t="s">
        <v>237</v>
      </c>
      <c r="B73">
        <v>45097</v>
      </c>
      <c r="C73" t="s">
        <v>144</v>
      </c>
      <c r="D73" t="s">
        <v>145</v>
      </c>
      <c r="E73" t="s">
        <v>76</v>
      </c>
      <c r="F73" t="s">
        <v>117</v>
      </c>
      <c r="G73" t="s">
        <v>155</v>
      </c>
      <c r="H73" t="s">
        <v>156</v>
      </c>
      <c r="I73" t="s">
        <v>58</v>
      </c>
      <c r="J73" t="s">
        <v>92</v>
      </c>
      <c r="K73" t="s">
        <v>80</v>
      </c>
      <c r="L73" t="s">
        <v>81</v>
      </c>
      <c r="M73" t="s">
        <v>40</v>
      </c>
      <c r="N73">
        <v>1000</v>
      </c>
      <c r="O73">
        <v>195.87</v>
      </c>
      <c r="P73">
        <f t="shared" si="0"/>
        <v>195870</v>
      </c>
      <c r="Q73">
        <v>30</v>
      </c>
      <c r="R73">
        <v>33</v>
      </c>
      <c r="S73">
        <f t="shared" si="2"/>
        <v>3</v>
      </c>
      <c r="T73" t="str">
        <f t="shared" si="1"/>
        <v>No</v>
      </c>
      <c r="U73">
        <v>63</v>
      </c>
      <c r="V73">
        <v>418</v>
      </c>
      <c r="W73">
        <v>399</v>
      </c>
      <c r="X73">
        <v>2.5</v>
      </c>
      <c r="Y73">
        <v>4</v>
      </c>
      <c r="Z73">
        <v>146.78</v>
      </c>
      <c r="AA73">
        <v>5071</v>
      </c>
      <c r="AB73">
        <v>0.86</v>
      </c>
    </row>
    <row r="74" spans="1:28" x14ac:dyDescent="0.3">
      <c r="A74" t="s">
        <v>238</v>
      </c>
      <c r="B74">
        <v>45100</v>
      </c>
      <c r="C74" t="s">
        <v>100</v>
      </c>
      <c r="D74" t="s">
        <v>101</v>
      </c>
      <c r="E74" t="s">
        <v>76</v>
      </c>
      <c r="F74" t="s">
        <v>44</v>
      </c>
      <c r="G74" t="s">
        <v>124</v>
      </c>
      <c r="H74" t="s">
        <v>125</v>
      </c>
      <c r="I74" t="s">
        <v>126</v>
      </c>
      <c r="J74" t="s">
        <v>127</v>
      </c>
      <c r="K74" t="s">
        <v>70</v>
      </c>
      <c r="L74" t="s">
        <v>71</v>
      </c>
      <c r="M74" t="s">
        <v>72</v>
      </c>
      <c r="N74">
        <v>394</v>
      </c>
      <c r="O74">
        <v>951.27</v>
      </c>
      <c r="P74">
        <f t="shared" si="0"/>
        <v>374800.38</v>
      </c>
      <c r="Q74">
        <v>13</v>
      </c>
      <c r="R74">
        <v>25</v>
      </c>
      <c r="S74">
        <f t="shared" si="2"/>
        <v>12</v>
      </c>
      <c r="T74" t="str">
        <f t="shared" si="1"/>
        <v>No</v>
      </c>
      <c r="U74">
        <v>219</v>
      </c>
      <c r="V74">
        <v>399</v>
      </c>
      <c r="W74">
        <v>332</v>
      </c>
      <c r="X74">
        <v>4</v>
      </c>
      <c r="Y74">
        <v>6</v>
      </c>
      <c r="Z74">
        <v>591.33000000000004</v>
      </c>
      <c r="AA74">
        <v>7349</v>
      </c>
      <c r="AB74">
        <v>0.71</v>
      </c>
    </row>
    <row r="75" spans="1:28" x14ac:dyDescent="0.3">
      <c r="A75" t="s">
        <v>239</v>
      </c>
      <c r="B75">
        <v>45102</v>
      </c>
      <c r="C75" t="s">
        <v>53</v>
      </c>
      <c r="D75" t="s">
        <v>54</v>
      </c>
      <c r="E75" t="s">
        <v>32</v>
      </c>
      <c r="F75" t="s">
        <v>102</v>
      </c>
      <c r="G75" t="s">
        <v>240</v>
      </c>
      <c r="H75" t="s">
        <v>241</v>
      </c>
      <c r="I75" t="s">
        <v>126</v>
      </c>
      <c r="J75" t="s">
        <v>127</v>
      </c>
      <c r="K75" t="s">
        <v>49</v>
      </c>
      <c r="L75" t="s">
        <v>50</v>
      </c>
      <c r="M75" t="s">
        <v>51</v>
      </c>
      <c r="N75">
        <v>670</v>
      </c>
      <c r="O75">
        <v>493.24</v>
      </c>
      <c r="P75">
        <f t="shared" si="0"/>
        <v>330470.8</v>
      </c>
      <c r="Q75">
        <v>23</v>
      </c>
      <c r="R75">
        <v>30</v>
      </c>
      <c r="S75">
        <f t="shared" si="2"/>
        <v>7</v>
      </c>
      <c r="T75" t="str">
        <f t="shared" si="1"/>
        <v>No</v>
      </c>
      <c r="U75">
        <v>194</v>
      </c>
      <c r="V75">
        <v>385</v>
      </c>
      <c r="W75">
        <v>550</v>
      </c>
      <c r="X75">
        <v>3</v>
      </c>
      <c r="Y75">
        <v>5</v>
      </c>
      <c r="Z75">
        <v>364.24</v>
      </c>
      <c r="AA75">
        <v>5143</v>
      </c>
      <c r="AB75">
        <v>0.83</v>
      </c>
    </row>
    <row r="76" spans="1:28" x14ac:dyDescent="0.3">
      <c r="A76" t="s">
        <v>242</v>
      </c>
      <c r="B76">
        <v>45106</v>
      </c>
      <c r="C76" t="s">
        <v>74</v>
      </c>
      <c r="D76" t="s">
        <v>75</v>
      </c>
      <c r="E76" t="s">
        <v>76</v>
      </c>
      <c r="F76" t="s">
        <v>102</v>
      </c>
      <c r="G76" t="s">
        <v>90</v>
      </c>
      <c r="H76" t="s">
        <v>91</v>
      </c>
      <c r="I76" t="s">
        <v>58</v>
      </c>
      <c r="J76" t="s">
        <v>92</v>
      </c>
      <c r="K76" t="s">
        <v>70</v>
      </c>
      <c r="L76" t="s">
        <v>71</v>
      </c>
      <c r="M76" t="s">
        <v>72</v>
      </c>
      <c r="N76">
        <v>522</v>
      </c>
      <c r="O76">
        <v>332.7</v>
      </c>
      <c r="P76">
        <f t="shared" si="0"/>
        <v>173669.4</v>
      </c>
      <c r="Q76">
        <v>26</v>
      </c>
      <c r="R76">
        <v>28</v>
      </c>
      <c r="S76">
        <f t="shared" si="2"/>
        <v>2</v>
      </c>
      <c r="T76" t="str">
        <f t="shared" si="1"/>
        <v>No</v>
      </c>
      <c r="U76">
        <v>1646</v>
      </c>
      <c r="V76">
        <v>696</v>
      </c>
      <c r="W76">
        <v>577</v>
      </c>
      <c r="X76">
        <v>2</v>
      </c>
      <c r="Y76">
        <v>4</v>
      </c>
      <c r="Z76">
        <v>200.87</v>
      </c>
      <c r="AA76">
        <v>1137</v>
      </c>
      <c r="AB76">
        <v>0.94</v>
      </c>
    </row>
    <row r="77" spans="1:28" x14ac:dyDescent="0.3">
      <c r="A77" t="s">
        <v>243</v>
      </c>
      <c r="B77">
        <v>45106</v>
      </c>
      <c r="C77" t="s">
        <v>230</v>
      </c>
      <c r="D77" t="s">
        <v>231</v>
      </c>
      <c r="E77" t="s">
        <v>89</v>
      </c>
      <c r="F77" t="s">
        <v>55</v>
      </c>
      <c r="G77" t="s">
        <v>67</v>
      </c>
      <c r="H77" t="s">
        <v>68</v>
      </c>
      <c r="I77" t="s">
        <v>58</v>
      </c>
      <c r="J77" t="s">
        <v>69</v>
      </c>
      <c r="K77" t="s">
        <v>97</v>
      </c>
      <c r="L77" t="s">
        <v>98</v>
      </c>
      <c r="M77" t="s">
        <v>51</v>
      </c>
      <c r="N77">
        <v>866</v>
      </c>
      <c r="O77">
        <v>1498.87</v>
      </c>
      <c r="P77">
        <f t="shared" si="0"/>
        <v>1298021.42</v>
      </c>
      <c r="Q77">
        <v>20</v>
      </c>
      <c r="R77">
        <v>24</v>
      </c>
      <c r="S77">
        <f t="shared" si="2"/>
        <v>4</v>
      </c>
      <c r="T77" t="str">
        <f t="shared" si="1"/>
        <v>No</v>
      </c>
      <c r="U77">
        <v>173</v>
      </c>
      <c r="V77">
        <v>269</v>
      </c>
      <c r="W77">
        <v>322</v>
      </c>
      <c r="X77">
        <v>5</v>
      </c>
      <c r="Y77">
        <v>7</v>
      </c>
      <c r="Z77">
        <v>931.49</v>
      </c>
      <c r="AA77">
        <v>3244</v>
      </c>
      <c r="AB77">
        <v>0.78</v>
      </c>
    </row>
    <row r="78" spans="1:28" x14ac:dyDescent="0.3">
      <c r="A78" t="s">
        <v>244</v>
      </c>
      <c r="B78">
        <v>45110</v>
      </c>
      <c r="C78" t="s">
        <v>100</v>
      </c>
      <c r="D78" t="s">
        <v>101</v>
      </c>
      <c r="E78" t="s">
        <v>76</v>
      </c>
      <c r="F78" t="s">
        <v>117</v>
      </c>
      <c r="G78" t="s">
        <v>147</v>
      </c>
      <c r="H78" t="s">
        <v>148</v>
      </c>
      <c r="I78" t="s">
        <v>58</v>
      </c>
      <c r="J78" t="s">
        <v>59</v>
      </c>
      <c r="K78" t="s">
        <v>70</v>
      </c>
      <c r="L78" t="s">
        <v>71</v>
      </c>
      <c r="M78" t="s">
        <v>72</v>
      </c>
      <c r="N78">
        <v>256</v>
      </c>
      <c r="O78">
        <v>805.79</v>
      </c>
      <c r="P78">
        <f t="shared" si="0"/>
        <v>206282.23999999999</v>
      </c>
      <c r="Q78">
        <v>21</v>
      </c>
      <c r="R78">
        <v>23</v>
      </c>
      <c r="S78">
        <f t="shared" si="2"/>
        <v>2</v>
      </c>
      <c r="T78" t="str">
        <f t="shared" si="1"/>
        <v>No</v>
      </c>
      <c r="U78">
        <v>1471</v>
      </c>
      <c r="V78">
        <v>158</v>
      </c>
      <c r="W78">
        <v>170</v>
      </c>
      <c r="X78">
        <v>4</v>
      </c>
      <c r="Y78">
        <v>6</v>
      </c>
      <c r="Z78">
        <v>543.59</v>
      </c>
      <c r="AA78">
        <v>3826</v>
      </c>
      <c r="AB78">
        <v>0.83</v>
      </c>
    </row>
    <row r="79" spans="1:28" x14ac:dyDescent="0.3">
      <c r="A79" t="s">
        <v>245</v>
      </c>
      <c r="B79">
        <v>45114</v>
      </c>
      <c r="C79" t="s">
        <v>114</v>
      </c>
      <c r="D79" t="s">
        <v>115</v>
      </c>
      <c r="E79" t="s">
        <v>116</v>
      </c>
      <c r="F79" t="s">
        <v>117</v>
      </c>
      <c r="G79" t="s">
        <v>201</v>
      </c>
      <c r="H79" t="s">
        <v>202</v>
      </c>
      <c r="I79" t="s">
        <v>203</v>
      </c>
      <c r="J79" t="s">
        <v>127</v>
      </c>
      <c r="K79" t="s">
        <v>80</v>
      </c>
      <c r="L79" t="s">
        <v>81</v>
      </c>
      <c r="M79" t="s">
        <v>40</v>
      </c>
      <c r="N79">
        <v>238</v>
      </c>
      <c r="O79">
        <v>3475.37</v>
      </c>
      <c r="P79">
        <f t="shared" si="0"/>
        <v>827138.05999999994</v>
      </c>
      <c r="Q79">
        <v>14</v>
      </c>
      <c r="R79">
        <v>18</v>
      </c>
      <c r="S79">
        <f t="shared" si="2"/>
        <v>4</v>
      </c>
      <c r="T79" t="str">
        <f t="shared" si="1"/>
        <v>No</v>
      </c>
      <c r="U79">
        <v>1377</v>
      </c>
      <c r="V79">
        <v>177</v>
      </c>
      <c r="W79">
        <v>214</v>
      </c>
      <c r="X79">
        <v>11</v>
      </c>
      <c r="Y79">
        <v>15</v>
      </c>
      <c r="Z79">
        <v>2407.5700000000002</v>
      </c>
      <c r="AA79">
        <v>1464</v>
      </c>
      <c r="AB79">
        <v>0.83</v>
      </c>
    </row>
    <row r="80" spans="1:28" x14ac:dyDescent="0.3">
      <c r="A80" t="s">
        <v>246</v>
      </c>
      <c r="B80">
        <v>45115</v>
      </c>
      <c r="C80" t="s">
        <v>150</v>
      </c>
      <c r="D80" t="s">
        <v>151</v>
      </c>
      <c r="E80" t="s">
        <v>66</v>
      </c>
      <c r="F80" t="s">
        <v>33</v>
      </c>
      <c r="G80" t="s">
        <v>111</v>
      </c>
      <c r="H80" t="s">
        <v>112</v>
      </c>
      <c r="I80" t="s">
        <v>58</v>
      </c>
      <c r="J80" t="s">
        <v>69</v>
      </c>
      <c r="K80" t="s">
        <v>49</v>
      </c>
      <c r="L80" t="s">
        <v>50</v>
      </c>
      <c r="M80" t="s">
        <v>51</v>
      </c>
      <c r="N80">
        <v>208</v>
      </c>
      <c r="O80">
        <v>41.79</v>
      </c>
      <c r="P80">
        <f t="shared" si="0"/>
        <v>8692.32</v>
      </c>
      <c r="Q80">
        <v>26</v>
      </c>
      <c r="R80">
        <v>33</v>
      </c>
      <c r="S80">
        <f t="shared" si="2"/>
        <v>7</v>
      </c>
      <c r="T80" t="str">
        <f t="shared" si="1"/>
        <v>No</v>
      </c>
      <c r="U80">
        <v>242</v>
      </c>
      <c r="V80">
        <v>274</v>
      </c>
      <c r="W80">
        <v>398</v>
      </c>
      <c r="X80">
        <v>1.5</v>
      </c>
      <c r="Y80">
        <v>2</v>
      </c>
      <c r="Z80">
        <v>33.380000000000003</v>
      </c>
      <c r="AA80">
        <v>4278</v>
      </c>
      <c r="AB80">
        <v>0.88</v>
      </c>
    </row>
    <row r="81" spans="1:28" x14ac:dyDescent="0.3">
      <c r="A81" t="s">
        <v>247</v>
      </c>
      <c r="B81">
        <v>45118</v>
      </c>
      <c r="C81" t="s">
        <v>230</v>
      </c>
      <c r="D81" t="s">
        <v>231</v>
      </c>
      <c r="E81" t="s">
        <v>89</v>
      </c>
      <c r="F81" t="s">
        <v>102</v>
      </c>
      <c r="G81" t="s">
        <v>90</v>
      </c>
      <c r="H81" t="s">
        <v>91</v>
      </c>
      <c r="I81" t="s">
        <v>58</v>
      </c>
      <c r="J81" t="s">
        <v>92</v>
      </c>
      <c r="K81" t="s">
        <v>178</v>
      </c>
      <c r="L81" t="s">
        <v>179</v>
      </c>
      <c r="M81" t="s">
        <v>62</v>
      </c>
      <c r="N81">
        <v>534</v>
      </c>
      <c r="O81">
        <v>1503.02</v>
      </c>
      <c r="P81">
        <f t="shared" si="0"/>
        <v>802612.67999999993</v>
      </c>
      <c r="Q81">
        <v>5</v>
      </c>
      <c r="R81">
        <v>4</v>
      </c>
      <c r="S81">
        <f t="shared" si="2"/>
        <v>0</v>
      </c>
      <c r="T81" t="str">
        <f t="shared" si="1"/>
        <v>Yes</v>
      </c>
      <c r="U81">
        <v>1469</v>
      </c>
      <c r="V81">
        <v>515</v>
      </c>
      <c r="W81">
        <v>627</v>
      </c>
      <c r="X81">
        <v>5</v>
      </c>
      <c r="Y81">
        <v>7</v>
      </c>
      <c r="Z81">
        <v>1137.6099999999999</v>
      </c>
      <c r="AA81">
        <v>7575</v>
      </c>
      <c r="AB81">
        <v>0.81</v>
      </c>
    </row>
    <row r="82" spans="1:28" x14ac:dyDescent="0.3">
      <c r="A82" t="s">
        <v>248</v>
      </c>
      <c r="B82">
        <v>45122</v>
      </c>
      <c r="C82" t="s">
        <v>223</v>
      </c>
      <c r="D82" t="s">
        <v>224</v>
      </c>
      <c r="E82" t="s">
        <v>32</v>
      </c>
      <c r="F82" t="s">
        <v>44</v>
      </c>
      <c r="G82" t="s">
        <v>34</v>
      </c>
      <c r="H82" t="s">
        <v>35</v>
      </c>
      <c r="I82" t="s">
        <v>36</v>
      </c>
      <c r="J82" t="s">
        <v>37</v>
      </c>
      <c r="K82" t="s">
        <v>38</v>
      </c>
      <c r="L82" t="s">
        <v>39</v>
      </c>
      <c r="M82" t="s">
        <v>40</v>
      </c>
      <c r="N82">
        <v>627</v>
      </c>
      <c r="O82">
        <v>1091.8599999999999</v>
      </c>
      <c r="P82">
        <f t="shared" si="0"/>
        <v>684596.22</v>
      </c>
      <c r="Q82">
        <v>7</v>
      </c>
      <c r="R82">
        <v>8</v>
      </c>
      <c r="S82">
        <f t="shared" si="2"/>
        <v>1</v>
      </c>
      <c r="T82" t="str">
        <f t="shared" si="1"/>
        <v>No</v>
      </c>
      <c r="U82">
        <v>2426</v>
      </c>
      <c r="V82">
        <v>733</v>
      </c>
      <c r="W82">
        <v>873</v>
      </c>
      <c r="X82">
        <v>5</v>
      </c>
      <c r="Y82">
        <v>8</v>
      </c>
      <c r="Z82">
        <v>759.81</v>
      </c>
      <c r="AA82">
        <v>7622</v>
      </c>
      <c r="AB82">
        <v>0.95</v>
      </c>
    </row>
    <row r="83" spans="1:28" x14ac:dyDescent="0.3">
      <c r="A83" t="s">
        <v>249</v>
      </c>
      <c r="B83">
        <v>45123</v>
      </c>
      <c r="C83" t="s">
        <v>158</v>
      </c>
      <c r="D83" t="s">
        <v>159</v>
      </c>
      <c r="E83" t="s">
        <v>89</v>
      </c>
      <c r="F83" t="s">
        <v>33</v>
      </c>
      <c r="G83" t="s">
        <v>167</v>
      </c>
      <c r="H83" t="s">
        <v>168</v>
      </c>
      <c r="I83" t="s">
        <v>47</v>
      </c>
      <c r="J83" t="s">
        <v>48</v>
      </c>
      <c r="K83" t="s">
        <v>97</v>
      </c>
      <c r="L83" t="s">
        <v>98</v>
      </c>
      <c r="M83" t="s">
        <v>51</v>
      </c>
      <c r="N83">
        <v>442</v>
      </c>
      <c r="O83">
        <v>6431.93</v>
      </c>
      <c r="P83">
        <f t="shared" si="0"/>
        <v>2842913.06</v>
      </c>
      <c r="Q83">
        <v>19</v>
      </c>
      <c r="R83">
        <v>20</v>
      </c>
      <c r="S83">
        <f t="shared" si="2"/>
        <v>1</v>
      </c>
      <c r="T83" t="str">
        <f t="shared" si="1"/>
        <v>No</v>
      </c>
      <c r="U83">
        <v>328</v>
      </c>
      <c r="V83">
        <v>367</v>
      </c>
      <c r="W83">
        <v>514</v>
      </c>
      <c r="X83">
        <v>15</v>
      </c>
      <c r="Y83">
        <v>20</v>
      </c>
      <c r="Z83">
        <v>4567.09</v>
      </c>
      <c r="AA83">
        <v>914</v>
      </c>
      <c r="AB83">
        <v>0.88</v>
      </c>
    </row>
    <row r="84" spans="1:28" x14ac:dyDescent="0.3">
      <c r="A84" t="s">
        <v>250</v>
      </c>
      <c r="B84">
        <v>45125</v>
      </c>
      <c r="C84" t="s">
        <v>42</v>
      </c>
      <c r="D84" t="s">
        <v>43</v>
      </c>
      <c r="E84" t="s">
        <v>32</v>
      </c>
      <c r="F84" t="s">
        <v>33</v>
      </c>
      <c r="G84" t="s">
        <v>167</v>
      </c>
      <c r="H84" t="s">
        <v>168</v>
      </c>
      <c r="I84" t="s">
        <v>47</v>
      </c>
      <c r="J84" t="s">
        <v>48</v>
      </c>
      <c r="K84" t="s">
        <v>49</v>
      </c>
      <c r="L84" t="s">
        <v>50</v>
      </c>
      <c r="M84" t="s">
        <v>51</v>
      </c>
      <c r="N84">
        <v>797</v>
      </c>
      <c r="O84">
        <v>630.79</v>
      </c>
      <c r="P84">
        <f t="shared" si="0"/>
        <v>502739.62999999995</v>
      </c>
      <c r="Q84">
        <v>17</v>
      </c>
      <c r="R84">
        <v>23</v>
      </c>
      <c r="S84">
        <f t="shared" si="2"/>
        <v>6</v>
      </c>
      <c r="T84" t="str">
        <f t="shared" si="1"/>
        <v>No</v>
      </c>
      <c r="U84">
        <v>2180</v>
      </c>
      <c r="V84">
        <v>639</v>
      </c>
      <c r="W84">
        <v>583</v>
      </c>
      <c r="X84">
        <v>3.5</v>
      </c>
      <c r="Y84">
        <v>5</v>
      </c>
      <c r="Z84">
        <v>403.67</v>
      </c>
      <c r="AA84">
        <v>5453</v>
      </c>
      <c r="AB84">
        <v>0.74</v>
      </c>
    </row>
    <row r="85" spans="1:28" x14ac:dyDescent="0.3">
      <c r="A85" t="s">
        <v>251</v>
      </c>
      <c r="B85">
        <v>45125</v>
      </c>
      <c r="C85" t="s">
        <v>114</v>
      </c>
      <c r="D85" t="s">
        <v>115</v>
      </c>
      <c r="E85" t="s">
        <v>116</v>
      </c>
      <c r="F85" t="s">
        <v>102</v>
      </c>
      <c r="G85" t="s">
        <v>167</v>
      </c>
      <c r="H85" t="s">
        <v>168</v>
      </c>
      <c r="I85" t="s">
        <v>47</v>
      </c>
      <c r="J85" t="s">
        <v>48</v>
      </c>
      <c r="K85" t="s">
        <v>80</v>
      </c>
      <c r="L85" t="s">
        <v>81</v>
      </c>
      <c r="M85" t="s">
        <v>40</v>
      </c>
      <c r="N85">
        <v>641</v>
      </c>
      <c r="O85">
        <v>3407.54</v>
      </c>
      <c r="P85">
        <f t="shared" si="0"/>
        <v>2184233.14</v>
      </c>
      <c r="Q85">
        <v>27</v>
      </c>
      <c r="R85">
        <v>34</v>
      </c>
      <c r="S85">
        <f t="shared" si="2"/>
        <v>7</v>
      </c>
      <c r="T85" t="str">
        <f t="shared" si="1"/>
        <v>No</v>
      </c>
      <c r="U85">
        <v>644</v>
      </c>
      <c r="V85">
        <v>627</v>
      </c>
      <c r="W85">
        <v>661</v>
      </c>
      <c r="X85">
        <v>11</v>
      </c>
      <c r="Y85">
        <v>15</v>
      </c>
      <c r="Z85">
        <v>2260.11</v>
      </c>
      <c r="AA85">
        <v>4008</v>
      </c>
      <c r="AB85">
        <v>0.75</v>
      </c>
    </row>
    <row r="86" spans="1:28" x14ac:dyDescent="0.3">
      <c r="A86" t="s">
        <v>252</v>
      </c>
      <c r="B86">
        <v>45128</v>
      </c>
      <c r="C86" t="s">
        <v>158</v>
      </c>
      <c r="D86" t="s">
        <v>159</v>
      </c>
      <c r="E86" t="s">
        <v>89</v>
      </c>
      <c r="F86" t="s">
        <v>44</v>
      </c>
      <c r="G86" t="s">
        <v>167</v>
      </c>
      <c r="H86" t="s">
        <v>168</v>
      </c>
      <c r="I86" t="s">
        <v>47</v>
      </c>
      <c r="J86" t="s">
        <v>48</v>
      </c>
      <c r="K86" t="s">
        <v>97</v>
      </c>
      <c r="L86" t="s">
        <v>98</v>
      </c>
      <c r="M86" t="s">
        <v>51</v>
      </c>
      <c r="N86">
        <v>709</v>
      </c>
      <c r="O86">
        <v>6246.6</v>
      </c>
      <c r="P86">
        <f t="shared" si="0"/>
        <v>4428839.4000000004</v>
      </c>
      <c r="Q86">
        <v>10</v>
      </c>
      <c r="R86">
        <v>16</v>
      </c>
      <c r="S86">
        <f t="shared" si="2"/>
        <v>6</v>
      </c>
      <c r="T86" t="str">
        <f t="shared" si="1"/>
        <v>No</v>
      </c>
      <c r="U86">
        <v>508</v>
      </c>
      <c r="V86">
        <v>533</v>
      </c>
      <c r="W86">
        <v>586</v>
      </c>
      <c r="X86">
        <v>15</v>
      </c>
      <c r="Y86">
        <v>20</v>
      </c>
      <c r="Z86">
        <v>4443.33</v>
      </c>
      <c r="AA86">
        <v>1565</v>
      </c>
      <c r="AB86">
        <v>0.75</v>
      </c>
    </row>
    <row r="87" spans="1:28" x14ac:dyDescent="0.3">
      <c r="A87" t="s">
        <v>253</v>
      </c>
      <c r="B87">
        <v>45129</v>
      </c>
      <c r="C87" t="s">
        <v>122</v>
      </c>
      <c r="D87" t="s">
        <v>123</v>
      </c>
      <c r="E87" t="s">
        <v>89</v>
      </c>
      <c r="F87" t="s">
        <v>33</v>
      </c>
      <c r="G87" t="s">
        <v>254</v>
      </c>
      <c r="H87" t="s">
        <v>255</v>
      </c>
      <c r="I87" t="s">
        <v>58</v>
      </c>
      <c r="J87" t="s">
        <v>59</v>
      </c>
      <c r="K87" t="s">
        <v>178</v>
      </c>
      <c r="L87" t="s">
        <v>179</v>
      </c>
      <c r="M87" t="s">
        <v>62</v>
      </c>
      <c r="N87">
        <v>87</v>
      </c>
      <c r="O87">
        <v>1983</v>
      </c>
      <c r="P87">
        <f t="shared" si="0"/>
        <v>172521</v>
      </c>
      <c r="Q87">
        <v>29</v>
      </c>
      <c r="R87">
        <v>37</v>
      </c>
      <c r="S87">
        <f t="shared" si="2"/>
        <v>8</v>
      </c>
      <c r="T87" t="str">
        <f t="shared" si="1"/>
        <v>No</v>
      </c>
      <c r="U87">
        <v>2043</v>
      </c>
      <c r="V87">
        <v>74</v>
      </c>
      <c r="W87">
        <v>88</v>
      </c>
      <c r="X87">
        <v>8</v>
      </c>
      <c r="Y87">
        <v>12</v>
      </c>
      <c r="Z87">
        <v>1419.62</v>
      </c>
      <c r="AA87">
        <v>6079</v>
      </c>
      <c r="AB87">
        <v>0.96</v>
      </c>
    </row>
    <row r="88" spans="1:28" x14ac:dyDescent="0.3">
      <c r="A88" t="s">
        <v>256</v>
      </c>
      <c r="B88">
        <v>45131</v>
      </c>
      <c r="C88" t="s">
        <v>87</v>
      </c>
      <c r="D88" t="s">
        <v>88</v>
      </c>
      <c r="E88" t="s">
        <v>89</v>
      </c>
      <c r="F88" t="s">
        <v>33</v>
      </c>
      <c r="G88" t="s">
        <v>254</v>
      </c>
      <c r="H88" t="s">
        <v>255</v>
      </c>
      <c r="I88" t="s">
        <v>58</v>
      </c>
      <c r="J88" t="s">
        <v>59</v>
      </c>
      <c r="K88" t="s">
        <v>97</v>
      </c>
      <c r="L88" t="s">
        <v>98</v>
      </c>
      <c r="M88" t="s">
        <v>51</v>
      </c>
      <c r="N88">
        <v>139</v>
      </c>
      <c r="O88">
        <v>8656.32</v>
      </c>
      <c r="P88">
        <f t="shared" si="0"/>
        <v>1203228.48</v>
      </c>
      <c r="Q88">
        <v>8</v>
      </c>
      <c r="R88">
        <v>15</v>
      </c>
      <c r="S88">
        <f t="shared" si="2"/>
        <v>7</v>
      </c>
      <c r="T88" t="str">
        <f t="shared" si="1"/>
        <v>No</v>
      </c>
      <c r="U88">
        <v>912</v>
      </c>
      <c r="V88">
        <v>119</v>
      </c>
      <c r="W88">
        <v>116</v>
      </c>
      <c r="X88">
        <v>18</v>
      </c>
      <c r="Y88">
        <v>25</v>
      </c>
      <c r="Z88">
        <v>5832.45</v>
      </c>
      <c r="AA88">
        <v>5463</v>
      </c>
      <c r="AB88">
        <v>0.87</v>
      </c>
    </row>
    <row r="89" spans="1:28" x14ac:dyDescent="0.3">
      <c r="A89" t="s">
        <v>257</v>
      </c>
      <c r="B89">
        <v>45131</v>
      </c>
      <c r="C89" t="s">
        <v>100</v>
      </c>
      <c r="D89" t="s">
        <v>101</v>
      </c>
      <c r="E89" t="s">
        <v>76</v>
      </c>
      <c r="F89" t="s">
        <v>117</v>
      </c>
      <c r="G89" t="s">
        <v>225</v>
      </c>
      <c r="H89" t="s">
        <v>226</v>
      </c>
      <c r="I89" t="s">
        <v>36</v>
      </c>
      <c r="J89" t="s">
        <v>37</v>
      </c>
      <c r="K89" t="s">
        <v>70</v>
      </c>
      <c r="L89" t="s">
        <v>71</v>
      </c>
      <c r="M89" t="s">
        <v>72</v>
      </c>
      <c r="N89">
        <v>663</v>
      </c>
      <c r="O89">
        <v>827.01</v>
      </c>
      <c r="P89">
        <f t="shared" si="0"/>
        <v>548307.63</v>
      </c>
      <c r="Q89">
        <v>7</v>
      </c>
      <c r="R89">
        <v>12</v>
      </c>
      <c r="S89">
        <f t="shared" si="2"/>
        <v>5</v>
      </c>
      <c r="T89" t="str">
        <f t="shared" si="1"/>
        <v>No</v>
      </c>
      <c r="U89">
        <v>493</v>
      </c>
      <c r="V89">
        <v>444</v>
      </c>
      <c r="W89">
        <v>478</v>
      </c>
      <c r="X89">
        <v>4</v>
      </c>
      <c r="Y89">
        <v>6</v>
      </c>
      <c r="Z89">
        <v>577.1</v>
      </c>
      <c r="AA89">
        <v>5915</v>
      </c>
      <c r="AB89">
        <v>0.77</v>
      </c>
    </row>
    <row r="90" spans="1:28" x14ac:dyDescent="0.3">
      <c r="A90" t="s">
        <v>258</v>
      </c>
      <c r="B90">
        <v>45132</v>
      </c>
      <c r="C90" t="s">
        <v>114</v>
      </c>
      <c r="D90" t="s">
        <v>115</v>
      </c>
      <c r="E90" t="s">
        <v>116</v>
      </c>
      <c r="F90" t="s">
        <v>102</v>
      </c>
      <c r="G90" t="s">
        <v>155</v>
      </c>
      <c r="H90" t="s">
        <v>156</v>
      </c>
      <c r="I90" t="s">
        <v>58</v>
      </c>
      <c r="J90" t="s">
        <v>92</v>
      </c>
      <c r="K90" t="s">
        <v>80</v>
      </c>
      <c r="L90" t="s">
        <v>81</v>
      </c>
      <c r="M90" t="s">
        <v>40</v>
      </c>
      <c r="N90">
        <v>156</v>
      </c>
      <c r="O90">
        <v>3133.11</v>
      </c>
      <c r="P90">
        <f t="shared" si="0"/>
        <v>488765.16000000003</v>
      </c>
      <c r="Q90">
        <v>27</v>
      </c>
      <c r="R90">
        <v>27</v>
      </c>
      <c r="S90">
        <f t="shared" si="2"/>
        <v>0</v>
      </c>
      <c r="T90" t="str">
        <f t="shared" si="1"/>
        <v>Yes</v>
      </c>
      <c r="U90">
        <v>351</v>
      </c>
      <c r="V90">
        <v>138</v>
      </c>
      <c r="W90">
        <v>171</v>
      </c>
      <c r="X90">
        <v>11</v>
      </c>
      <c r="Y90">
        <v>15</v>
      </c>
      <c r="Z90">
        <v>1990.67</v>
      </c>
      <c r="AA90">
        <v>5697</v>
      </c>
      <c r="AB90">
        <v>0.72</v>
      </c>
    </row>
    <row r="91" spans="1:28" x14ac:dyDescent="0.3">
      <c r="A91" t="s">
        <v>259</v>
      </c>
      <c r="B91">
        <v>45132</v>
      </c>
      <c r="C91" t="s">
        <v>223</v>
      </c>
      <c r="D91" t="s">
        <v>224</v>
      </c>
      <c r="E91" t="s">
        <v>32</v>
      </c>
      <c r="F91" t="s">
        <v>55</v>
      </c>
      <c r="G91" t="s">
        <v>218</v>
      </c>
      <c r="H91" t="s">
        <v>219</v>
      </c>
      <c r="I91" t="s">
        <v>58</v>
      </c>
      <c r="J91" t="s">
        <v>59</v>
      </c>
      <c r="K91" t="s">
        <v>49</v>
      </c>
      <c r="L91" t="s">
        <v>50</v>
      </c>
      <c r="M91" t="s">
        <v>51</v>
      </c>
      <c r="N91">
        <v>61</v>
      </c>
      <c r="O91">
        <v>1355.41</v>
      </c>
      <c r="P91">
        <f t="shared" si="0"/>
        <v>82680.010000000009</v>
      </c>
      <c r="Q91">
        <v>27</v>
      </c>
      <c r="R91">
        <v>28</v>
      </c>
      <c r="S91">
        <f t="shared" si="2"/>
        <v>1</v>
      </c>
      <c r="T91" t="str">
        <f t="shared" si="1"/>
        <v>No</v>
      </c>
      <c r="U91">
        <v>1142</v>
      </c>
      <c r="V91">
        <v>45</v>
      </c>
      <c r="W91">
        <v>50</v>
      </c>
      <c r="X91">
        <v>5</v>
      </c>
      <c r="Y91">
        <v>8</v>
      </c>
      <c r="Z91">
        <v>920.85</v>
      </c>
      <c r="AA91">
        <v>1514</v>
      </c>
      <c r="AB91">
        <v>0.89</v>
      </c>
    </row>
    <row r="92" spans="1:28" x14ac:dyDescent="0.3">
      <c r="A92" t="s">
        <v>260</v>
      </c>
      <c r="B92">
        <v>45133</v>
      </c>
      <c r="C92" t="s">
        <v>223</v>
      </c>
      <c r="D92" t="s">
        <v>224</v>
      </c>
      <c r="E92" t="s">
        <v>32</v>
      </c>
      <c r="F92" t="s">
        <v>55</v>
      </c>
      <c r="G92" t="s">
        <v>138</v>
      </c>
      <c r="H92" t="s">
        <v>139</v>
      </c>
      <c r="I92" t="s">
        <v>47</v>
      </c>
      <c r="J92" t="s">
        <v>48</v>
      </c>
      <c r="K92" t="s">
        <v>97</v>
      </c>
      <c r="L92" t="s">
        <v>98</v>
      </c>
      <c r="M92" t="s">
        <v>51</v>
      </c>
      <c r="N92">
        <v>333</v>
      </c>
      <c r="O92">
        <v>1360.01</v>
      </c>
      <c r="P92">
        <f t="shared" si="0"/>
        <v>452883.33</v>
      </c>
      <c r="Q92">
        <v>21</v>
      </c>
      <c r="R92">
        <v>25</v>
      </c>
      <c r="S92">
        <f t="shared" si="2"/>
        <v>4</v>
      </c>
      <c r="T92" t="str">
        <f t="shared" si="1"/>
        <v>No</v>
      </c>
      <c r="U92">
        <v>2244</v>
      </c>
      <c r="V92">
        <v>289</v>
      </c>
      <c r="W92">
        <v>238</v>
      </c>
      <c r="X92">
        <v>5</v>
      </c>
      <c r="Y92">
        <v>8</v>
      </c>
      <c r="Z92">
        <v>991.97</v>
      </c>
      <c r="AA92">
        <v>2843</v>
      </c>
      <c r="AB92">
        <v>0.8</v>
      </c>
    </row>
    <row r="93" spans="1:28" x14ac:dyDescent="0.3">
      <c r="A93" t="s">
        <v>261</v>
      </c>
      <c r="B93">
        <v>45134</v>
      </c>
      <c r="C93" t="s">
        <v>74</v>
      </c>
      <c r="D93" t="s">
        <v>75</v>
      </c>
      <c r="E93" t="s">
        <v>76</v>
      </c>
      <c r="F93" t="s">
        <v>33</v>
      </c>
      <c r="G93" t="s">
        <v>141</v>
      </c>
      <c r="H93" t="s">
        <v>142</v>
      </c>
      <c r="I93" t="s">
        <v>47</v>
      </c>
      <c r="J93" t="s">
        <v>48</v>
      </c>
      <c r="K93" t="s">
        <v>70</v>
      </c>
      <c r="L93" t="s">
        <v>71</v>
      </c>
      <c r="M93" t="s">
        <v>72</v>
      </c>
      <c r="N93">
        <v>118</v>
      </c>
      <c r="O93">
        <v>301.14999999999998</v>
      </c>
      <c r="P93">
        <f t="shared" si="0"/>
        <v>35535.699999999997</v>
      </c>
      <c r="Q93">
        <v>19</v>
      </c>
      <c r="R93">
        <v>22</v>
      </c>
      <c r="S93">
        <f t="shared" si="2"/>
        <v>3</v>
      </c>
      <c r="T93" t="str">
        <f t="shared" si="1"/>
        <v>No</v>
      </c>
      <c r="U93">
        <v>1685</v>
      </c>
      <c r="V93">
        <v>52</v>
      </c>
      <c r="W93">
        <v>54</v>
      </c>
      <c r="X93">
        <v>2</v>
      </c>
      <c r="Y93">
        <v>4</v>
      </c>
      <c r="Z93">
        <v>227.09</v>
      </c>
      <c r="AA93">
        <v>4202</v>
      </c>
      <c r="AB93">
        <v>0.79</v>
      </c>
    </row>
    <row r="94" spans="1:28" x14ac:dyDescent="0.3">
      <c r="A94" t="s">
        <v>262</v>
      </c>
      <c r="B94">
        <v>45135</v>
      </c>
      <c r="C94" t="s">
        <v>210</v>
      </c>
      <c r="D94" t="s">
        <v>211</v>
      </c>
      <c r="E94" t="s">
        <v>66</v>
      </c>
      <c r="F94" t="s">
        <v>33</v>
      </c>
      <c r="G94" t="s">
        <v>206</v>
      </c>
      <c r="H94" t="s">
        <v>207</v>
      </c>
      <c r="I94" t="s">
        <v>126</v>
      </c>
      <c r="J94" t="s">
        <v>127</v>
      </c>
      <c r="K94" t="s">
        <v>49</v>
      </c>
      <c r="L94" t="s">
        <v>50</v>
      </c>
      <c r="M94" t="s">
        <v>51</v>
      </c>
      <c r="N94">
        <v>937</v>
      </c>
      <c r="O94">
        <v>31.56</v>
      </c>
      <c r="P94">
        <f t="shared" si="0"/>
        <v>29571.719999999998</v>
      </c>
      <c r="Q94">
        <v>6</v>
      </c>
      <c r="R94">
        <v>5</v>
      </c>
      <c r="S94">
        <f t="shared" si="2"/>
        <v>0</v>
      </c>
      <c r="T94" t="str">
        <f t="shared" si="1"/>
        <v>Yes</v>
      </c>
      <c r="U94">
        <v>2618</v>
      </c>
      <c r="V94">
        <v>757</v>
      </c>
      <c r="W94">
        <v>752</v>
      </c>
      <c r="X94">
        <v>1.2</v>
      </c>
      <c r="Y94">
        <v>2</v>
      </c>
      <c r="Z94">
        <v>18.96</v>
      </c>
      <c r="AA94">
        <v>6817</v>
      </c>
      <c r="AB94">
        <v>0.74</v>
      </c>
    </row>
    <row r="95" spans="1:28" x14ac:dyDescent="0.3">
      <c r="A95" t="s">
        <v>263</v>
      </c>
      <c r="B95">
        <v>45137</v>
      </c>
      <c r="C95" t="s">
        <v>30</v>
      </c>
      <c r="D95" t="s">
        <v>31</v>
      </c>
      <c r="E95" t="s">
        <v>32</v>
      </c>
      <c r="F95" t="s">
        <v>102</v>
      </c>
      <c r="G95" t="s">
        <v>164</v>
      </c>
      <c r="H95" t="s">
        <v>165</v>
      </c>
      <c r="I95" t="s">
        <v>47</v>
      </c>
      <c r="J95" t="s">
        <v>48</v>
      </c>
      <c r="K95" t="s">
        <v>38</v>
      </c>
      <c r="L95" t="s">
        <v>39</v>
      </c>
      <c r="M95" t="s">
        <v>40</v>
      </c>
      <c r="N95">
        <v>466</v>
      </c>
      <c r="O95">
        <v>13777.16</v>
      </c>
      <c r="P95">
        <f t="shared" si="0"/>
        <v>6420156.5599999996</v>
      </c>
      <c r="Q95">
        <v>19</v>
      </c>
      <c r="R95">
        <v>19</v>
      </c>
      <c r="S95">
        <f t="shared" si="2"/>
        <v>0</v>
      </c>
      <c r="T95" t="str">
        <f t="shared" si="1"/>
        <v>Yes</v>
      </c>
      <c r="U95">
        <v>2122</v>
      </c>
      <c r="V95">
        <v>372</v>
      </c>
      <c r="W95">
        <v>444</v>
      </c>
      <c r="X95">
        <v>25</v>
      </c>
      <c r="Y95">
        <v>35</v>
      </c>
      <c r="Z95">
        <v>9806.0300000000007</v>
      </c>
      <c r="AA95">
        <v>6011</v>
      </c>
      <c r="AB95">
        <v>0.93</v>
      </c>
    </row>
    <row r="96" spans="1:28" x14ac:dyDescent="0.3">
      <c r="A96" t="s">
        <v>264</v>
      </c>
      <c r="B96">
        <v>45138</v>
      </c>
      <c r="C96" t="s">
        <v>223</v>
      </c>
      <c r="D96" t="s">
        <v>224</v>
      </c>
      <c r="E96" t="s">
        <v>32</v>
      </c>
      <c r="F96" t="s">
        <v>33</v>
      </c>
      <c r="G96" t="s">
        <v>186</v>
      </c>
      <c r="H96" t="s">
        <v>187</v>
      </c>
      <c r="I96" t="s">
        <v>47</v>
      </c>
      <c r="J96" t="s">
        <v>48</v>
      </c>
      <c r="K96" t="s">
        <v>38</v>
      </c>
      <c r="L96" t="s">
        <v>39</v>
      </c>
      <c r="M96" t="s">
        <v>40</v>
      </c>
      <c r="N96">
        <v>297</v>
      </c>
      <c r="O96">
        <v>1259.06</v>
      </c>
      <c r="P96">
        <f t="shared" si="0"/>
        <v>373940.82</v>
      </c>
      <c r="Q96">
        <v>10</v>
      </c>
      <c r="R96">
        <v>13</v>
      </c>
      <c r="S96">
        <f t="shared" si="2"/>
        <v>3</v>
      </c>
      <c r="T96" t="str">
        <f t="shared" si="1"/>
        <v>No</v>
      </c>
      <c r="U96">
        <v>2903</v>
      </c>
      <c r="V96">
        <v>193</v>
      </c>
      <c r="W96">
        <v>231</v>
      </c>
      <c r="X96">
        <v>5</v>
      </c>
      <c r="Y96">
        <v>8</v>
      </c>
      <c r="Z96">
        <v>995.26</v>
      </c>
      <c r="AA96">
        <v>4714</v>
      </c>
      <c r="AB96">
        <v>0.98</v>
      </c>
    </row>
    <row r="97" spans="1:28" x14ac:dyDescent="0.3">
      <c r="A97" t="s">
        <v>265</v>
      </c>
      <c r="B97">
        <v>45145</v>
      </c>
      <c r="C97" t="s">
        <v>176</v>
      </c>
      <c r="D97" t="s">
        <v>177</v>
      </c>
      <c r="E97" t="s">
        <v>89</v>
      </c>
      <c r="F97" t="s">
        <v>102</v>
      </c>
      <c r="G97" t="s">
        <v>160</v>
      </c>
      <c r="H97" t="s">
        <v>161</v>
      </c>
      <c r="I97" t="s">
        <v>47</v>
      </c>
      <c r="J97" t="s">
        <v>79</v>
      </c>
      <c r="K97" t="s">
        <v>178</v>
      </c>
      <c r="L97" t="s">
        <v>179</v>
      </c>
      <c r="M97" t="s">
        <v>62</v>
      </c>
      <c r="N97">
        <v>183</v>
      </c>
      <c r="O97">
        <v>4471.79</v>
      </c>
      <c r="P97">
        <f t="shared" si="0"/>
        <v>818337.57</v>
      </c>
      <c r="Q97">
        <v>14</v>
      </c>
      <c r="R97">
        <v>20</v>
      </c>
      <c r="S97">
        <f t="shared" si="2"/>
        <v>6</v>
      </c>
      <c r="T97" t="str">
        <f t="shared" si="1"/>
        <v>No</v>
      </c>
      <c r="U97">
        <v>2739</v>
      </c>
      <c r="V97">
        <v>193</v>
      </c>
      <c r="W97">
        <v>199</v>
      </c>
      <c r="X97">
        <v>12</v>
      </c>
      <c r="Y97">
        <v>18</v>
      </c>
      <c r="Z97">
        <v>3415.04</v>
      </c>
      <c r="AA97">
        <v>6653</v>
      </c>
      <c r="AB97">
        <v>0.77</v>
      </c>
    </row>
    <row r="98" spans="1:28" x14ac:dyDescent="0.3">
      <c r="A98" t="s">
        <v>266</v>
      </c>
      <c r="B98">
        <v>45151</v>
      </c>
      <c r="C98" t="s">
        <v>87</v>
      </c>
      <c r="D98" t="s">
        <v>88</v>
      </c>
      <c r="E98" t="s">
        <v>89</v>
      </c>
      <c r="F98" t="s">
        <v>33</v>
      </c>
      <c r="G98" t="s">
        <v>206</v>
      </c>
      <c r="H98" t="s">
        <v>207</v>
      </c>
      <c r="I98" t="s">
        <v>126</v>
      </c>
      <c r="J98" t="s">
        <v>127</v>
      </c>
      <c r="K98" t="s">
        <v>97</v>
      </c>
      <c r="L98" t="s">
        <v>98</v>
      </c>
      <c r="M98" t="s">
        <v>51</v>
      </c>
      <c r="N98">
        <v>349</v>
      </c>
      <c r="O98">
        <v>9600.5300000000007</v>
      </c>
      <c r="P98">
        <f t="shared" si="0"/>
        <v>3350584.97</v>
      </c>
      <c r="Q98">
        <v>11</v>
      </c>
      <c r="R98">
        <v>11</v>
      </c>
      <c r="S98">
        <f t="shared" si="2"/>
        <v>0</v>
      </c>
      <c r="T98" t="str">
        <f t="shared" si="1"/>
        <v>Yes</v>
      </c>
      <c r="U98">
        <v>1415</v>
      </c>
      <c r="V98">
        <v>404</v>
      </c>
      <c r="W98">
        <v>583</v>
      </c>
      <c r="X98">
        <v>18</v>
      </c>
      <c r="Y98">
        <v>25</v>
      </c>
      <c r="Z98">
        <v>7381.43</v>
      </c>
      <c r="AA98">
        <v>3150</v>
      </c>
      <c r="AB98">
        <v>0.72</v>
      </c>
    </row>
    <row r="99" spans="1:28" x14ac:dyDescent="0.3">
      <c r="A99" t="s">
        <v>267</v>
      </c>
      <c r="B99">
        <v>45153</v>
      </c>
      <c r="C99" t="s">
        <v>158</v>
      </c>
      <c r="D99" t="s">
        <v>159</v>
      </c>
      <c r="E99" t="s">
        <v>89</v>
      </c>
      <c r="F99" t="s">
        <v>44</v>
      </c>
      <c r="G99" t="s">
        <v>77</v>
      </c>
      <c r="H99" t="s">
        <v>78</v>
      </c>
      <c r="I99" t="s">
        <v>47</v>
      </c>
      <c r="J99" t="s">
        <v>79</v>
      </c>
      <c r="K99" t="s">
        <v>93</v>
      </c>
      <c r="L99" t="s">
        <v>94</v>
      </c>
      <c r="M99" t="s">
        <v>95</v>
      </c>
      <c r="N99">
        <v>310</v>
      </c>
      <c r="O99">
        <v>6491.36</v>
      </c>
      <c r="P99">
        <f t="shared" si="0"/>
        <v>2012321.5999999999</v>
      </c>
      <c r="Q99">
        <v>29</v>
      </c>
      <c r="R99">
        <v>36</v>
      </c>
      <c r="S99">
        <f t="shared" si="2"/>
        <v>7</v>
      </c>
      <c r="T99" t="str">
        <f t="shared" si="1"/>
        <v>No</v>
      </c>
      <c r="U99">
        <v>2192</v>
      </c>
      <c r="V99">
        <v>269</v>
      </c>
      <c r="W99">
        <v>320</v>
      </c>
      <c r="X99">
        <v>15</v>
      </c>
      <c r="Y99">
        <v>20</v>
      </c>
      <c r="Z99">
        <v>4871.29</v>
      </c>
      <c r="AA99">
        <v>5819</v>
      </c>
      <c r="AB99">
        <v>0.7</v>
      </c>
    </row>
    <row r="100" spans="1:28" x14ac:dyDescent="0.3">
      <c r="A100" t="s">
        <v>268</v>
      </c>
      <c r="B100">
        <v>45154</v>
      </c>
      <c r="C100" t="s">
        <v>87</v>
      </c>
      <c r="D100" t="s">
        <v>88</v>
      </c>
      <c r="E100" t="s">
        <v>89</v>
      </c>
      <c r="F100" t="s">
        <v>44</v>
      </c>
      <c r="G100" t="s">
        <v>186</v>
      </c>
      <c r="H100" t="s">
        <v>187</v>
      </c>
      <c r="I100" t="s">
        <v>47</v>
      </c>
      <c r="J100" t="s">
        <v>48</v>
      </c>
      <c r="K100" t="s">
        <v>178</v>
      </c>
      <c r="L100" t="s">
        <v>179</v>
      </c>
      <c r="M100" t="s">
        <v>62</v>
      </c>
      <c r="N100">
        <v>997</v>
      </c>
      <c r="O100">
        <v>9349.81</v>
      </c>
      <c r="P100">
        <f t="shared" si="0"/>
        <v>9321760.5700000003</v>
      </c>
      <c r="Q100">
        <v>22</v>
      </c>
      <c r="R100">
        <v>28</v>
      </c>
      <c r="S100">
        <f t="shared" si="2"/>
        <v>6</v>
      </c>
      <c r="T100" t="str">
        <f t="shared" si="1"/>
        <v>No</v>
      </c>
      <c r="U100">
        <v>1551</v>
      </c>
      <c r="V100">
        <v>1139</v>
      </c>
      <c r="W100">
        <v>947</v>
      </c>
      <c r="X100">
        <v>18</v>
      </c>
      <c r="Y100">
        <v>25</v>
      </c>
      <c r="Z100">
        <v>5916.85</v>
      </c>
      <c r="AA100">
        <v>1650</v>
      </c>
      <c r="AB100">
        <v>0.93</v>
      </c>
    </row>
    <row r="101" spans="1:28" x14ac:dyDescent="0.3">
      <c r="A101" t="s">
        <v>269</v>
      </c>
      <c r="B101">
        <v>45155</v>
      </c>
      <c r="C101" t="s">
        <v>87</v>
      </c>
      <c r="D101" t="s">
        <v>88</v>
      </c>
      <c r="E101" t="s">
        <v>89</v>
      </c>
      <c r="F101" t="s">
        <v>55</v>
      </c>
      <c r="G101" t="s">
        <v>34</v>
      </c>
      <c r="H101" t="s">
        <v>35</v>
      </c>
      <c r="I101" t="s">
        <v>36</v>
      </c>
      <c r="J101" t="s">
        <v>37</v>
      </c>
      <c r="K101" t="s">
        <v>93</v>
      </c>
      <c r="L101" t="s">
        <v>94</v>
      </c>
      <c r="M101" t="s">
        <v>95</v>
      </c>
      <c r="N101">
        <v>295</v>
      </c>
      <c r="O101">
        <v>9486.75</v>
      </c>
      <c r="P101">
        <f t="shared" si="0"/>
        <v>2798591.25</v>
      </c>
      <c r="Q101">
        <v>29</v>
      </c>
      <c r="R101">
        <v>31</v>
      </c>
      <c r="S101">
        <f t="shared" si="2"/>
        <v>2</v>
      </c>
      <c r="T101" t="str">
        <f t="shared" si="1"/>
        <v>No</v>
      </c>
      <c r="U101">
        <v>1458</v>
      </c>
      <c r="V101">
        <v>315</v>
      </c>
      <c r="W101">
        <v>340</v>
      </c>
      <c r="X101">
        <v>18</v>
      </c>
      <c r="Y101">
        <v>25</v>
      </c>
      <c r="Z101">
        <v>7553.63</v>
      </c>
      <c r="AA101">
        <v>4892</v>
      </c>
      <c r="AB101">
        <v>0.79</v>
      </c>
    </row>
    <row r="102" spans="1:28" x14ac:dyDescent="0.3">
      <c r="A102" t="s">
        <v>270</v>
      </c>
      <c r="B102">
        <v>45157</v>
      </c>
      <c r="C102" t="s">
        <v>64</v>
      </c>
      <c r="D102" t="s">
        <v>65</v>
      </c>
      <c r="E102" t="s">
        <v>66</v>
      </c>
      <c r="F102" t="s">
        <v>44</v>
      </c>
      <c r="G102" t="s">
        <v>119</v>
      </c>
      <c r="H102" t="s">
        <v>120</v>
      </c>
      <c r="I102" t="s">
        <v>58</v>
      </c>
      <c r="J102" t="s">
        <v>59</v>
      </c>
      <c r="K102" t="s">
        <v>49</v>
      </c>
      <c r="L102" t="s">
        <v>50</v>
      </c>
      <c r="M102" t="s">
        <v>51</v>
      </c>
      <c r="N102">
        <v>589</v>
      </c>
      <c r="O102">
        <v>92.28</v>
      </c>
      <c r="P102">
        <f t="shared" si="0"/>
        <v>54352.92</v>
      </c>
      <c r="Q102">
        <v>29</v>
      </c>
      <c r="R102">
        <v>34</v>
      </c>
      <c r="S102">
        <f t="shared" si="2"/>
        <v>5</v>
      </c>
      <c r="T102" t="str">
        <f t="shared" si="1"/>
        <v>No</v>
      </c>
      <c r="U102">
        <v>2271</v>
      </c>
      <c r="V102">
        <v>537</v>
      </c>
      <c r="W102">
        <v>644</v>
      </c>
      <c r="X102">
        <v>2</v>
      </c>
      <c r="Y102">
        <v>3</v>
      </c>
      <c r="Z102">
        <v>60.31</v>
      </c>
      <c r="AA102">
        <v>4949</v>
      </c>
      <c r="AB102">
        <v>0.93</v>
      </c>
    </row>
    <row r="103" spans="1:28" x14ac:dyDescent="0.3">
      <c r="A103" t="s">
        <v>271</v>
      </c>
      <c r="B103">
        <v>45158</v>
      </c>
      <c r="C103" t="s">
        <v>150</v>
      </c>
      <c r="D103" t="s">
        <v>151</v>
      </c>
      <c r="E103" t="s">
        <v>66</v>
      </c>
      <c r="F103" t="s">
        <v>117</v>
      </c>
      <c r="G103" t="s">
        <v>141</v>
      </c>
      <c r="H103" t="s">
        <v>142</v>
      </c>
      <c r="I103" t="s">
        <v>47</v>
      </c>
      <c r="J103" t="s">
        <v>48</v>
      </c>
      <c r="K103" t="s">
        <v>49</v>
      </c>
      <c r="L103" t="s">
        <v>50</v>
      </c>
      <c r="M103" t="s">
        <v>51</v>
      </c>
      <c r="N103">
        <v>348</v>
      </c>
      <c r="O103">
        <v>48.57</v>
      </c>
      <c r="P103">
        <f t="shared" si="0"/>
        <v>16902.36</v>
      </c>
      <c r="Q103">
        <v>8</v>
      </c>
      <c r="R103">
        <v>16</v>
      </c>
      <c r="S103">
        <f t="shared" si="2"/>
        <v>8</v>
      </c>
      <c r="T103" t="str">
        <f t="shared" si="1"/>
        <v>No</v>
      </c>
      <c r="U103">
        <v>583</v>
      </c>
      <c r="V103">
        <v>106</v>
      </c>
      <c r="W103">
        <v>125</v>
      </c>
      <c r="X103">
        <v>1.5</v>
      </c>
      <c r="Y103">
        <v>2</v>
      </c>
      <c r="Z103">
        <v>38.17</v>
      </c>
      <c r="AA103">
        <v>3833</v>
      </c>
      <c r="AB103">
        <v>0.88</v>
      </c>
    </row>
    <row r="104" spans="1:28" x14ac:dyDescent="0.3">
      <c r="A104" t="s">
        <v>272</v>
      </c>
      <c r="B104">
        <v>45160</v>
      </c>
      <c r="C104" t="s">
        <v>223</v>
      </c>
      <c r="D104" t="s">
        <v>224</v>
      </c>
      <c r="E104" t="s">
        <v>32</v>
      </c>
      <c r="F104" t="s">
        <v>33</v>
      </c>
      <c r="G104" t="s">
        <v>206</v>
      </c>
      <c r="H104" t="s">
        <v>207</v>
      </c>
      <c r="I104" t="s">
        <v>126</v>
      </c>
      <c r="J104" t="s">
        <v>127</v>
      </c>
      <c r="K104" t="s">
        <v>60</v>
      </c>
      <c r="L104" t="s">
        <v>61</v>
      </c>
      <c r="M104" t="s">
        <v>62</v>
      </c>
      <c r="N104">
        <v>546</v>
      </c>
      <c r="O104">
        <v>1268.71</v>
      </c>
      <c r="P104">
        <f t="shared" si="0"/>
        <v>692715.66</v>
      </c>
      <c r="Q104">
        <v>24</v>
      </c>
      <c r="R104">
        <v>28</v>
      </c>
      <c r="S104">
        <f t="shared" si="2"/>
        <v>4</v>
      </c>
      <c r="T104" t="str">
        <f t="shared" si="1"/>
        <v>No</v>
      </c>
      <c r="U104">
        <v>625</v>
      </c>
      <c r="V104">
        <v>702</v>
      </c>
      <c r="W104">
        <v>680</v>
      </c>
      <c r="X104">
        <v>5</v>
      </c>
      <c r="Y104">
        <v>8</v>
      </c>
      <c r="Z104">
        <v>906.51</v>
      </c>
      <c r="AA104">
        <v>6238</v>
      </c>
      <c r="AB104">
        <v>0.73</v>
      </c>
    </row>
    <row r="105" spans="1:28" x14ac:dyDescent="0.3">
      <c r="A105" t="s">
        <v>273</v>
      </c>
      <c r="B105">
        <v>45160</v>
      </c>
      <c r="C105" t="s">
        <v>74</v>
      </c>
      <c r="D105" t="s">
        <v>75</v>
      </c>
      <c r="E105" t="s">
        <v>76</v>
      </c>
      <c r="F105" t="s">
        <v>44</v>
      </c>
      <c r="G105" t="s">
        <v>134</v>
      </c>
      <c r="H105" t="s">
        <v>135</v>
      </c>
      <c r="I105" t="s">
        <v>58</v>
      </c>
      <c r="J105" t="s">
        <v>59</v>
      </c>
      <c r="K105" t="s">
        <v>80</v>
      </c>
      <c r="L105" t="s">
        <v>81</v>
      </c>
      <c r="M105" t="s">
        <v>40</v>
      </c>
      <c r="N105">
        <v>802</v>
      </c>
      <c r="O105">
        <v>354.07</v>
      </c>
      <c r="P105">
        <f t="shared" si="0"/>
        <v>283964.14</v>
      </c>
      <c r="Q105">
        <v>13</v>
      </c>
      <c r="R105">
        <v>17</v>
      </c>
      <c r="S105">
        <f t="shared" si="2"/>
        <v>4</v>
      </c>
      <c r="T105" t="str">
        <f t="shared" si="1"/>
        <v>No</v>
      </c>
      <c r="U105">
        <v>2497</v>
      </c>
      <c r="V105">
        <v>861</v>
      </c>
      <c r="W105">
        <v>802</v>
      </c>
      <c r="X105">
        <v>2</v>
      </c>
      <c r="Y105">
        <v>4</v>
      </c>
      <c r="Z105">
        <v>227.41</v>
      </c>
      <c r="AA105">
        <v>7249</v>
      </c>
      <c r="AB105">
        <v>0.81</v>
      </c>
    </row>
    <row r="106" spans="1:28" x14ac:dyDescent="0.3">
      <c r="A106" t="s">
        <v>274</v>
      </c>
      <c r="B106">
        <v>45160</v>
      </c>
      <c r="C106" t="s">
        <v>230</v>
      </c>
      <c r="D106" t="s">
        <v>231</v>
      </c>
      <c r="E106" t="s">
        <v>89</v>
      </c>
      <c r="F106" t="s">
        <v>44</v>
      </c>
      <c r="G106" t="s">
        <v>111</v>
      </c>
      <c r="H106" t="s">
        <v>112</v>
      </c>
      <c r="I106" t="s">
        <v>58</v>
      </c>
      <c r="J106" t="s">
        <v>69</v>
      </c>
      <c r="K106" t="s">
        <v>93</v>
      </c>
      <c r="L106" t="s">
        <v>94</v>
      </c>
      <c r="M106" t="s">
        <v>95</v>
      </c>
      <c r="N106">
        <v>418</v>
      </c>
      <c r="O106">
        <v>1506</v>
      </c>
      <c r="P106">
        <f t="shared" si="0"/>
        <v>629508</v>
      </c>
      <c r="Q106">
        <v>8</v>
      </c>
      <c r="R106">
        <v>11</v>
      </c>
      <c r="S106">
        <f t="shared" si="2"/>
        <v>3</v>
      </c>
      <c r="T106" t="str">
        <f t="shared" si="1"/>
        <v>No</v>
      </c>
      <c r="U106">
        <v>1768</v>
      </c>
      <c r="V106">
        <v>282</v>
      </c>
      <c r="W106">
        <v>275</v>
      </c>
      <c r="X106">
        <v>5</v>
      </c>
      <c r="Y106">
        <v>7</v>
      </c>
      <c r="Z106">
        <v>1190.82</v>
      </c>
      <c r="AA106">
        <v>6126</v>
      </c>
      <c r="AB106">
        <v>0.96</v>
      </c>
    </row>
    <row r="107" spans="1:28" x14ac:dyDescent="0.3">
      <c r="A107" t="s">
        <v>275</v>
      </c>
      <c r="B107">
        <v>45166</v>
      </c>
      <c r="C107" t="s">
        <v>64</v>
      </c>
      <c r="D107" t="s">
        <v>65</v>
      </c>
      <c r="E107" t="s">
        <v>66</v>
      </c>
      <c r="F107" t="s">
        <v>55</v>
      </c>
      <c r="G107" t="s">
        <v>45</v>
      </c>
      <c r="H107" t="s">
        <v>46</v>
      </c>
      <c r="I107" t="s">
        <v>47</v>
      </c>
      <c r="J107" t="s">
        <v>48</v>
      </c>
      <c r="K107" t="s">
        <v>70</v>
      </c>
      <c r="L107" t="s">
        <v>71</v>
      </c>
      <c r="M107" t="s">
        <v>72</v>
      </c>
      <c r="N107">
        <v>153</v>
      </c>
      <c r="O107">
        <v>87.21</v>
      </c>
      <c r="P107">
        <f t="shared" si="0"/>
        <v>13343.13</v>
      </c>
      <c r="Q107">
        <v>14</v>
      </c>
      <c r="R107">
        <v>15</v>
      </c>
      <c r="S107">
        <f t="shared" si="2"/>
        <v>1</v>
      </c>
      <c r="T107" t="str">
        <f t="shared" si="1"/>
        <v>No</v>
      </c>
      <c r="U107">
        <v>2379</v>
      </c>
      <c r="V107">
        <v>104</v>
      </c>
      <c r="W107">
        <v>126</v>
      </c>
      <c r="X107">
        <v>2</v>
      </c>
      <c r="Y107">
        <v>3</v>
      </c>
      <c r="Z107">
        <v>64.05</v>
      </c>
      <c r="AA107">
        <v>3126</v>
      </c>
      <c r="AB107">
        <v>0.77</v>
      </c>
    </row>
    <row r="108" spans="1:28" x14ac:dyDescent="0.3">
      <c r="A108" t="s">
        <v>276</v>
      </c>
      <c r="B108">
        <v>45168</v>
      </c>
      <c r="C108" t="s">
        <v>42</v>
      </c>
      <c r="D108" t="s">
        <v>43</v>
      </c>
      <c r="E108" t="s">
        <v>32</v>
      </c>
      <c r="F108" t="s">
        <v>117</v>
      </c>
      <c r="G108" t="s">
        <v>56</v>
      </c>
      <c r="H108" t="s">
        <v>57</v>
      </c>
      <c r="I108" t="s">
        <v>58</v>
      </c>
      <c r="J108" t="s">
        <v>59</v>
      </c>
      <c r="K108" t="s">
        <v>93</v>
      </c>
      <c r="L108" t="s">
        <v>94</v>
      </c>
      <c r="M108" t="s">
        <v>95</v>
      </c>
      <c r="N108">
        <v>567</v>
      </c>
      <c r="O108">
        <v>731.53</v>
      </c>
      <c r="P108">
        <f t="shared" si="0"/>
        <v>414777.51</v>
      </c>
      <c r="Q108">
        <v>25</v>
      </c>
      <c r="R108">
        <v>28</v>
      </c>
      <c r="S108">
        <f t="shared" si="2"/>
        <v>3</v>
      </c>
      <c r="T108" t="str">
        <f t="shared" si="1"/>
        <v>No</v>
      </c>
      <c r="U108">
        <v>268</v>
      </c>
      <c r="V108">
        <v>440</v>
      </c>
      <c r="W108">
        <v>410</v>
      </c>
      <c r="X108">
        <v>3.5</v>
      </c>
      <c r="Y108">
        <v>5</v>
      </c>
      <c r="Z108">
        <v>456.79</v>
      </c>
      <c r="AA108">
        <v>7447</v>
      </c>
      <c r="AB108">
        <v>0.93</v>
      </c>
    </row>
    <row r="109" spans="1:28" x14ac:dyDescent="0.3">
      <c r="A109" t="s">
        <v>277</v>
      </c>
      <c r="B109">
        <v>45170</v>
      </c>
      <c r="C109" t="s">
        <v>30</v>
      </c>
      <c r="D109" t="s">
        <v>31</v>
      </c>
      <c r="E109" t="s">
        <v>32</v>
      </c>
      <c r="F109" t="s">
        <v>44</v>
      </c>
      <c r="G109" t="s">
        <v>192</v>
      </c>
      <c r="H109" t="s">
        <v>193</v>
      </c>
      <c r="I109" t="s">
        <v>47</v>
      </c>
      <c r="J109" t="s">
        <v>79</v>
      </c>
      <c r="K109" t="s">
        <v>60</v>
      </c>
      <c r="L109" t="s">
        <v>61</v>
      </c>
      <c r="M109" t="s">
        <v>62</v>
      </c>
      <c r="N109">
        <v>281</v>
      </c>
      <c r="O109">
        <v>11413.75</v>
      </c>
      <c r="P109">
        <f t="shared" si="0"/>
        <v>3207263.75</v>
      </c>
      <c r="Q109">
        <v>28</v>
      </c>
      <c r="R109">
        <v>32</v>
      </c>
      <c r="S109">
        <f t="shared" si="2"/>
        <v>4</v>
      </c>
      <c r="T109" t="str">
        <f t="shared" si="1"/>
        <v>No</v>
      </c>
      <c r="U109">
        <v>2174</v>
      </c>
      <c r="V109">
        <v>122</v>
      </c>
      <c r="W109">
        <v>103</v>
      </c>
      <c r="X109">
        <v>25</v>
      </c>
      <c r="Y109">
        <v>35</v>
      </c>
      <c r="Z109">
        <v>7871.55</v>
      </c>
      <c r="AA109">
        <v>3465</v>
      </c>
      <c r="AB109">
        <v>0.84</v>
      </c>
    </row>
    <row r="110" spans="1:28" x14ac:dyDescent="0.3">
      <c r="A110" t="s">
        <v>278</v>
      </c>
      <c r="B110">
        <v>45173</v>
      </c>
      <c r="C110" t="s">
        <v>210</v>
      </c>
      <c r="D110" t="s">
        <v>211</v>
      </c>
      <c r="E110" t="s">
        <v>66</v>
      </c>
      <c r="F110" t="s">
        <v>33</v>
      </c>
      <c r="G110" t="s">
        <v>111</v>
      </c>
      <c r="H110" t="s">
        <v>112</v>
      </c>
      <c r="I110" t="s">
        <v>58</v>
      </c>
      <c r="J110" t="s">
        <v>69</v>
      </c>
      <c r="K110" t="s">
        <v>70</v>
      </c>
      <c r="L110" t="s">
        <v>71</v>
      </c>
      <c r="M110" t="s">
        <v>72</v>
      </c>
      <c r="N110">
        <v>792</v>
      </c>
      <c r="O110">
        <v>32.17</v>
      </c>
      <c r="P110">
        <f t="shared" si="0"/>
        <v>25478.640000000003</v>
      </c>
      <c r="Q110">
        <v>12</v>
      </c>
      <c r="R110">
        <v>19</v>
      </c>
      <c r="S110">
        <f t="shared" si="2"/>
        <v>7</v>
      </c>
      <c r="T110" t="str">
        <f t="shared" si="1"/>
        <v>No</v>
      </c>
      <c r="U110">
        <v>1610</v>
      </c>
      <c r="V110">
        <v>574</v>
      </c>
      <c r="W110">
        <v>796</v>
      </c>
      <c r="X110">
        <v>1.2</v>
      </c>
      <c r="Y110">
        <v>2</v>
      </c>
      <c r="Z110">
        <v>24.74</v>
      </c>
      <c r="AA110">
        <v>1942</v>
      </c>
      <c r="AB110">
        <v>0.77</v>
      </c>
    </row>
    <row r="111" spans="1:28" x14ac:dyDescent="0.3">
      <c r="A111" t="s">
        <v>279</v>
      </c>
      <c r="B111">
        <v>45174</v>
      </c>
      <c r="C111" t="s">
        <v>42</v>
      </c>
      <c r="D111" t="s">
        <v>43</v>
      </c>
      <c r="E111" t="s">
        <v>32</v>
      </c>
      <c r="F111" t="s">
        <v>102</v>
      </c>
      <c r="G111" t="s">
        <v>181</v>
      </c>
      <c r="H111" t="s">
        <v>182</v>
      </c>
      <c r="I111" t="s">
        <v>126</v>
      </c>
      <c r="J111" t="s">
        <v>127</v>
      </c>
      <c r="K111" t="s">
        <v>49</v>
      </c>
      <c r="L111" t="s">
        <v>50</v>
      </c>
      <c r="M111" t="s">
        <v>51</v>
      </c>
      <c r="N111">
        <v>191</v>
      </c>
      <c r="O111">
        <v>741.08</v>
      </c>
      <c r="P111">
        <f t="shared" si="0"/>
        <v>141546.28</v>
      </c>
      <c r="Q111">
        <v>20</v>
      </c>
      <c r="R111">
        <v>27</v>
      </c>
      <c r="S111">
        <f t="shared" si="2"/>
        <v>7</v>
      </c>
      <c r="T111" t="str">
        <f t="shared" si="1"/>
        <v>No</v>
      </c>
      <c r="U111">
        <v>2278</v>
      </c>
      <c r="V111">
        <v>137</v>
      </c>
      <c r="W111">
        <v>125</v>
      </c>
      <c r="X111">
        <v>3.5</v>
      </c>
      <c r="Y111">
        <v>5</v>
      </c>
      <c r="Z111">
        <v>577.23</v>
      </c>
      <c r="AA111">
        <v>6635</v>
      </c>
      <c r="AB111">
        <v>0.93</v>
      </c>
    </row>
    <row r="112" spans="1:28" x14ac:dyDescent="0.3">
      <c r="A112" t="s">
        <v>280</v>
      </c>
      <c r="B112">
        <v>45176</v>
      </c>
      <c r="C112" t="s">
        <v>150</v>
      </c>
      <c r="D112" t="s">
        <v>151</v>
      </c>
      <c r="E112" t="s">
        <v>66</v>
      </c>
      <c r="F112" t="s">
        <v>44</v>
      </c>
      <c r="G112" t="s">
        <v>56</v>
      </c>
      <c r="H112" t="s">
        <v>57</v>
      </c>
      <c r="I112" t="s">
        <v>58</v>
      </c>
      <c r="J112" t="s">
        <v>59</v>
      </c>
      <c r="K112" t="s">
        <v>70</v>
      </c>
      <c r="L112" t="s">
        <v>71</v>
      </c>
      <c r="M112" t="s">
        <v>72</v>
      </c>
      <c r="N112">
        <v>679</v>
      </c>
      <c r="O112">
        <v>51.66</v>
      </c>
      <c r="P112">
        <f t="shared" si="0"/>
        <v>35077.14</v>
      </c>
      <c r="Q112">
        <v>25</v>
      </c>
      <c r="R112">
        <v>23</v>
      </c>
      <c r="S112">
        <f t="shared" si="2"/>
        <v>0</v>
      </c>
      <c r="T112" t="str">
        <f t="shared" si="1"/>
        <v>Yes</v>
      </c>
      <c r="U112">
        <v>402</v>
      </c>
      <c r="V112">
        <v>533</v>
      </c>
      <c r="W112">
        <v>567</v>
      </c>
      <c r="X112">
        <v>1.5</v>
      </c>
      <c r="Y112">
        <v>2</v>
      </c>
      <c r="Z112">
        <v>35.909999999999997</v>
      </c>
      <c r="AA112">
        <v>5716</v>
      </c>
      <c r="AB112">
        <v>0.7</v>
      </c>
    </row>
    <row r="113" spans="1:28" x14ac:dyDescent="0.3">
      <c r="A113" t="s">
        <v>281</v>
      </c>
      <c r="B113">
        <v>45181</v>
      </c>
      <c r="C113" t="s">
        <v>210</v>
      </c>
      <c r="D113" t="s">
        <v>211</v>
      </c>
      <c r="E113" t="s">
        <v>66</v>
      </c>
      <c r="F113" t="s">
        <v>55</v>
      </c>
      <c r="G113" t="s">
        <v>160</v>
      </c>
      <c r="H113" t="s">
        <v>161</v>
      </c>
      <c r="I113" t="s">
        <v>47</v>
      </c>
      <c r="J113" t="s">
        <v>79</v>
      </c>
      <c r="K113" t="s">
        <v>70</v>
      </c>
      <c r="L113" t="s">
        <v>71</v>
      </c>
      <c r="M113" t="s">
        <v>72</v>
      </c>
      <c r="N113">
        <v>401</v>
      </c>
      <c r="O113">
        <v>31.31</v>
      </c>
      <c r="P113">
        <f t="shared" si="0"/>
        <v>12555.31</v>
      </c>
      <c r="Q113">
        <v>20</v>
      </c>
      <c r="R113">
        <v>21</v>
      </c>
      <c r="S113">
        <f t="shared" si="2"/>
        <v>1</v>
      </c>
      <c r="T113" t="str">
        <f t="shared" si="1"/>
        <v>No</v>
      </c>
      <c r="U113">
        <v>837</v>
      </c>
      <c r="V113">
        <v>513</v>
      </c>
      <c r="W113">
        <v>575</v>
      </c>
      <c r="X113">
        <v>1.2</v>
      </c>
      <c r="Y113">
        <v>2</v>
      </c>
      <c r="Z113">
        <v>20.69</v>
      </c>
      <c r="AA113">
        <v>7015</v>
      </c>
      <c r="AB113">
        <v>0.94</v>
      </c>
    </row>
    <row r="114" spans="1:28" x14ac:dyDescent="0.3">
      <c r="A114" t="s">
        <v>282</v>
      </c>
      <c r="B114">
        <v>45181</v>
      </c>
      <c r="C114" t="s">
        <v>87</v>
      </c>
      <c r="D114" t="s">
        <v>88</v>
      </c>
      <c r="E114" t="s">
        <v>89</v>
      </c>
      <c r="F114" t="s">
        <v>44</v>
      </c>
      <c r="G114" t="s">
        <v>34</v>
      </c>
      <c r="H114" t="s">
        <v>35</v>
      </c>
      <c r="I114" t="s">
        <v>36</v>
      </c>
      <c r="J114" t="s">
        <v>37</v>
      </c>
      <c r="K114" t="s">
        <v>97</v>
      </c>
      <c r="L114" t="s">
        <v>98</v>
      </c>
      <c r="M114" t="s">
        <v>51</v>
      </c>
      <c r="N114">
        <v>467</v>
      </c>
      <c r="O114">
        <v>9251.73</v>
      </c>
      <c r="P114">
        <f t="shared" si="0"/>
        <v>4320557.91</v>
      </c>
      <c r="Q114">
        <v>15</v>
      </c>
      <c r="R114">
        <v>17</v>
      </c>
      <c r="S114">
        <f t="shared" si="2"/>
        <v>2</v>
      </c>
      <c r="T114" t="str">
        <f t="shared" si="1"/>
        <v>No</v>
      </c>
      <c r="U114">
        <v>2405</v>
      </c>
      <c r="V114">
        <v>545</v>
      </c>
      <c r="W114">
        <v>440</v>
      </c>
      <c r="X114">
        <v>18</v>
      </c>
      <c r="Y114">
        <v>25</v>
      </c>
      <c r="Z114">
        <v>6760.58</v>
      </c>
      <c r="AA114">
        <v>6175</v>
      </c>
      <c r="AB114">
        <v>0.77</v>
      </c>
    </row>
    <row r="115" spans="1:28" x14ac:dyDescent="0.3">
      <c r="A115" t="s">
        <v>283</v>
      </c>
      <c r="B115">
        <v>45182</v>
      </c>
      <c r="C115" t="s">
        <v>100</v>
      </c>
      <c r="D115" t="s">
        <v>101</v>
      </c>
      <c r="E115" t="s">
        <v>76</v>
      </c>
      <c r="F115" t="s">
        <v>102</v>
      </c>
      <c r="G115" t="s">
        <v>254</v>
      </c>
      <c r="H115" t="s">
        <v>255</v>
      </c>
      <c r="I115" t="s">
        <v>58</v>
      </c>
      <c r="J115" t="s">
        <v>59</v>
      </c>
      <c r="K115" t="s">
        <v>80</v>
      </c>
      <c r="L115" t="s">
        <v>81</v>
      </c>
      <c r="M115" t="s">
        <v>40</v>
      </c>
      <c r="N115">
        <v>693</v>
      </c>
      <c r="O115">
        <v>877.87</v>
      </c>
      <c r="P115">
        <f t="shared" si="0"/>
        <v>608363.91</v>
      </c>
      <c r="Q115">
        <v>22</v>
      </c>
      <c r="R115">
        <v>29</v>
      </c>
      <c r="S115">
        <f t="shared" si="2"/>
        <v>7</v>
      </c>
      <c r="T115" t="str">
        <f t="shared" si="1"/>
        <v>No</v>
      </c>
      <c r="U115">
        <v>1319</v>
      </c>
      <c r="V115">
        <v>997</v>
      </c>
      <c r="W115">
        <v>1419</v>
      </c>
      <c r="X115">
        <v>4</v>
      </c>
      <c r="Y115">
        <v>6</v>
      </c>
      <c r="Z115">
        <v>634.28</v>
      </c>
      <c r="AA115">
        <v>6392</v>
      </c>
      <c r="AB115">
        <v>0.95</v>
      </c>
    </row>
    <row r="116" spans="1:28" x14ac:dyDescent="0.3">
      <c r="A116" t="s">
        <v>284</v>
      </c>
      <c r="B116">
        <v>45183</v>
      </c>
      <c r="C116" t="s">
        <v>87</v>
      </c>
      <c r="D116" t="s">
        <v>88</v>
      </c>
      <c r="E116" t="s">
        <v>89</v>
      </c>
      <c r="F116" t="s">
        <v>117</v>
      </c>
      <c r="G116" t="s">
        <v>201</v>
      </c>
      <c r="H116" t="s">
        <v>202</v>
      </c>
      <c r="I116" t="s">
        <v>203</v>
      </c>
      <c r="J116" t="s">
        <v>127</v>
      </c>
      <c r="K116" t="s">
        <v>178</v>
      </c>
      <c r="L116" t="s">
        <v>179</v>
      </c>
      <c r="M116" t="s">
        <v>62</v>
      </c>
      <c r="N116">
        <v>866</v>
      </c>
      <c r="O116">
        <v>9478.6</v>
      </c>
      <c r="P116">
        <f t="shared" si="0"/>
        <v>8208467.6000000006</v>
      </c>
      <c r="Q116">
        <v>23</v>
      </c>
      <c r="R116">
        <v>21</v>
      </c>
      <c r="S116">
        <f t="shared" si="2"/>
        <v>0</v>
      </c>
      <c r="T116" t="str">
        <f t="shared" si="1"/>
        <v>Yes</v>
      </c>
      <c r="U116">
        <v>2773</v>
      </c>
      <c r="V116">
        <v>1113</v>
      </c>
      <c r="W116">
        <v>1339</v>
      </c>
      <c r="X116">
        <v>18</v>
      </c>
      <c r="Y116">
        <v>25</v>
      </c>
      <c r="Z116">
        <v>7133.8</v>
      </c>
      <c r="AA116">
        <v>1935</v>
      </c>
      <c r="AB116">
        <v>0.83</v>
      </c>
    </row>
    <row r="117" spans="1:28" x14ac:dyDescent="0.3">
      <c r="A117" t="s">
        <v>285</v>
      </c>
      <c r="B117">
        <v>45183</v>
      </c>
      <c r="C117" t="s">
        <v>223</v>
      </c>
      <c r="D117" t="s">
        <v>224</v>
      </c>
      <c r="E117" t="s">
        <v>32</v>
      </c>
      <c r="F117" t="s">
        <v>102</v>
      </c>
      <c r="G117" t="s">
        <v>240</v>
      </c>
      <c r="H117" t="s">
        <v>241</v>
      </c>
      <c r="I117" t="s">
        <v>126</v>
      </c>
      <c r="J117" t="s">
        <v>127</v>
      </c>
      <c r="K117" t="s">
        <v>93</v>
      </c>
      <c r="L117" t="s">
        <v>94</v>
      </c>
      <c r="M117" t="s">
        <v>95</v>
      </c>
      <c r="N117">
        <v>577</v>
      </c>
      <c r="O117">
        <v>1360.29</v>
      </c>
      <c r="P117">
        <f t="shared" si="0"/>
        <v>784887.33</v>
      </c>
      <c r="Q117">
        <v>27</v>
      </c>
      <c r="R117">
        <v>33</v>
      </c>
      <c r="S117">
        <f t="shared" si="2"/>
        <v>6</v>
      </c>
      <c r="T117" t="str">
        <f t="shared" si="1"/>
        <v>No</v>
      </c>
      <c r="U117">
        <v>530</v>
      </c>
      <c r="V117">
        <v>370</v>
      </c>
      <c r="W117">
        <v>493</v>
      </c>
      <c r="X117">
        <v>5</v>
      </c>
      <c r="Y117">
        <v>8</v>
      </c>
      <c r="Z117">
        <v>890.39</v>
      </c>
      <c r="AA117">
        <v>7916</v>
      </c>
      <c r="AB117">
        <v>0.84</v>
      </c>
    </row>
    <row r="118" spans="1:28" x14ac:dyDescent="0.3">
      <c r="A118" t="s">
        <v>286</v>
      </c>
      <c r="B118">
        <v>45187</v>
      </c>
      <c r="C118" t="s">
        <v>223</v>
      </c>
      <c r="D118" t="s">
        <v>224</v>
      </c>
      <c r="E118" t="s">
        <v>32</v>
      </c>
      <c r="F118" t="s">
        <v>102</v>
      </c>
      <c r="G118" t="s">
        <v>192</v>
      </c>
      <c r="H118" t="s">
        <v>193</v>
      </c>
      <c r="I118" t="s">
        <v>47</v>
      </c>
      <c r="J118" t="s">
        <v>79</v>
      </c>
      <c r="K118" t="s">
        <v>38</v>
      </c>
      <c r="L118" t="s">
        <v>39</v>
      </c>
      <c r="M118" t="s">
        <v>40</v>
      </c>
      <c r="N118">
        <v>957</v>
      </c>
      <c r="O118">
        <v>1321.95</v>
      </c>
      <c r="P118">
        <f t="shared" si="0"/>
        <v>1265106.1500000001</v>
      </c>
      <c r="Q118">
        <v>26</v>
      </c>
      <c r="R118">
        <v>34</v>
      </c>
      <c r="S118">
        <f t="shared" si="2"/>
        <v>8</v>
      </c>
      <c r="T118" t="str">
        <f t="shared" si="1"/>
        <v>No</v>
      </c>
      <c r="U118">
        <v>827</v>
      </c>
      <c r="V118">
        <v>705</v>
      </c>
      <c r="W118">
        <v>598</v>
      </c>
      <c r="X118">
        <v>5</v>
      </c>
      <c r="Y118">
        <v>8</v>
      </c>
      <c r="Z118">
        <v>968.79</v>
      </c>
      <c r="AA118">
        <v>3204</v>
      </c>
      <c r="AB118">
        <v>0.87</v>
      </c>
    </row>
    <row r="119" spans="1:28" x14ac:dyDescent="0.3">
      <c r="A119" t="s">
        <v>287</v>
      </c>
      <c r="B119">
        <v>45188</v>
      </c>
      <c r="C119" t="s">
        <v>87</v>
      </c>
      <c r="D119" t="s">
        <v>88</v>
      </c>
      <c r="E119" t="s">
        <v>89</v>
      </c>
      <c r="F119" t="s">
        <v>44</v>
      </c>
      <c r="G119" t="s">
        <v>167</v>
      </c>
      <c r="H119" t="s">
        <v>168</v>
      </c>
      <c r="I119" t="s">
        <v>47</v>
      </c>
      <c r="J119" t="s">
        <v>48</v>
      </c>
      <c r="K119" t="s">
        <v>178</v>
      </c>
      <c r="L119" t="s">
        <v>179</v>
      </c>
      <c r="M119" t="s">
        <v>62</v>
      </c>
      <c r="N119">
        <v>969</v>
      </c>
      <c r="O119">
        <v>7978.96</v>
      </c>
      <c r="P119">
        <f t="shared" si="0"/>
        <v>7731612.2400000002</v>
      </c>
      <c r="Q119">
        <v>9</v>
      </c>
      <c r="R119">
        <v>12</v>
      </c>
      <c r="S119">
        <f t="shared" si="2"/>
        <v>3</v>
      </c>
      <c r="T119" t="str">
        <f t="shared" si="1"/>
        <v>No</v>
      </c>
      <c r="U119">
        <v>2464</v>
      </c>
      <c r="V119">
        <v>349</v>
      </c>
      <c r="W119">
        <v>506</v>
      </c>
      <c r="X119">
        <v>18</v>
      </c>
      <c r="Y119">
        <v>25</v>
      </c>
      <c r="Z119">
        <v>5769.76</v>
      </c>
      <c r="AA119">
        <v>5922</v>
      </c>
      <c r="AB119">
        <v>0.78</v>
      </c>
    </row>
    <row r="120" spans="1:28" x14ac:dyDescent="0.3">
      <c r="A120" t="s">
        <v>288</v>
      </c>
      <c r="B120">
        <v>45192</v>
      </c>
      <c r="C120" t="s">
        <v>230</v>
      </c>
      <c r="D120" t="s">
        <v>231</v>
      </c>
      <c r="E120" t="s">
        <v>89</v>
      </c>
      <c r="F120" t="s">
        <v>102</v>
      </c>
      <c r="G120" t="s">
        <v>34</v>
      </c>
      <c r="H120" t="s">
        <v>35</v>
      </c>
      <c r="I120" t="s">
        <v>36</v>
      </c>
      <c r="J120" t="s">
        <v>37</v>
      </c>
      <c r="K120" t="s">
        <v>178</v>
      </c>
      <c r="L120" t="s">
        <v>179</v>
      </c>
      <c r="M120" t="s">
        <v>62</v>
      </c>
      <c r="N120">
        <v>46</v>
      </c>
      <c r="O120">
        <v>1568.63</v>
      </c>
      <c r="P120">
        <f t="shared" si="0"/>
        <v>72156.98000000001</v>
      </c>
      <c r="Q120">
        <v>23</v>
      </c>
      <c r="R120">
        <v>24</v>
      </c>
      <c r="S120">
        <f t="shared" si="2"/>
        <v>1</v>
      </c>
      <c r="T120" t="str">
        <f t="shared" si="1"/>
        <v>No</v>
      </c>
      <c r="U120">
        <v>1425</v>
      </c>
      <c r="V120">
        <v>53</v>
      </c>
      <c r="W120">
        <v>50</v>
      </c>
      <c r="X120">
        <v>5</v>
      </c>
      <c r="Y120">
        <v>7</v>
      </c>
      <c r="Z120">
        <v>1108.9100000000001</v>
      </c>
      <c r="AA120">
        <v>6929</v>
      </c>
      <c r="AB120">
        <v>0.83</v>
      </c>
    </row>
    <row r="121" spans="1:28" x14ac:dyDescent="0.3">
      <c r="A121" t="s">
        <v>289</v>
      </c>
      <c r="B121">
        <v>45195</v>
      </c>
      <c r="C121" t="s">
        <v>122</v>
      </c>
      <c r="D121" t="s">
        <v>123</v>
      </c>
      <c r="E121" t="s">
        <v>89</v>
      </c>
      <c r="F121" t="s">
        <v>102</v>
      </c>
      <c r="G121" t="s">
        <v>90</v>
      </c>
      <c r="H121" t="s">
        <v>91</v>
      </c>
      <c r="I121" t="s">
        <v>58</v>
      </c>
      <c r="J121" t="s">
        <v>92</v>
      </c>
      <c r="K121" t="s">
        <v>178</v>
      </c>
      <c r="L121" t="s">
        <v>179</v>
      </c>
      <c r="M121" t="s">
        <v>62</v>
      </c>
      <c r="N121">
        <v>447</v>
      </c>
      <c r="O121">
        <v>2184.48</v>
      </c>
      <c r="P121">
        <f t="shared" si="0"/>
        <v>976462.56</v>
      </c>
      <c r="Q121">
        <v>8</v>
      </c>
      <c r="R121">
        <v>7</v>
      </c>
      <c r="S121">
        <f t="shared" si="2"/>
        <v>0</v>
      </c>
      <c r="T121" t="str">
        <f t="shared" si="1"/>
        <v>Yes</v>
      </c>
      <c r="U121">
        <v>2850</v>
      </c>
      <c r="V121">
        <v>618</v>
      </c>
      <c r="W121">
        <v>730</v>
      </c>
      <c r="X121">
        <v>8</v>
      </c>
      <c r="Y121">
        <v>12</v>
      </c>
      <c r="Z121">
        <v>1675.32</v>
      </c>
      <c r="AA121">
        <v>5271</v>
      </c>
      <c r="AB121">
        <v>0.85</v>
      </c>
    </row>
    <row r="122" spans="1:28" x14ac:dyDescent="0.3">
      <c r="A122" t="s">
        <v>290</v>
      </c>
      <c r="B122">
        <v>45196</v>
      </c>
      <c r="C122" t="s">
        <v>176</v>
      </c>
      <c r="D122" t="s">
        <v>177</v>
      </c>
      <c r="E122" t="s">
        <v>89</v>
      </c>
      <c r="F122" t="s">
        <v>55</v>
      </c>
      <c r="G122" t="s">
        <v>186</v>
      </c>
      <c r="H122" t="s">
        <v>187</v>
      </c>
      <c r="I122" t="s">
        <v>47</v>
      </c>
      <c r="J122" t="s">
        <v>48</v>
      </c>
      <c r="K122" t="s">
        <v>178</v>
      </c>
      <c r="L122" t="s">
        <v>179</v>
      </c>
      <c r="M122" t="s">
        <v>62</v>
      </c>
      <c r="N122">
        <v>429</v>
      </c>
      <c r="O122">
        <v>4090.12</v>
      </c>
      <c r="P122">
        <f t="shared" si="0"/>
        <v>1754661.48</v>
      </c>
      <c r="Q122">
        <v>6</v>
      </c>
      <c r="R122">
        <v>12</v>
      </c>
      <c r="S122">
        <f t="shared" si="2"/>
        <v>6</v>
      </c>
      <c r="T122" t="str">
        <f t="shared" si="1"/>
        <v>No</v>
      </c>
      <c r="U122">
        <v>2053</v>
      </c>
      <c r="V122">
        <v>597</v>
      </c>
      <c r="W122">
        <v>765</v>
      </c>
      <c r="X122">
        <v>12</v>
      </c>
      <c r="Y122">
        <v>18</v>
      </c>
      <c r="Z122">
        <v>2847.27</v>
      </c>
      <c r="AA122">
        <v>2421</v>
      </c>
      <c r="AB122">
        <v>0.7</v>
      </c>
    </row>
    <row r="123" spans="1:28" x14ac:dyDescent="0.3">
      <c r="A123" t="s">
        <v>291</v>
      </c>
      <c r="B123">
        <v>45197</v>
      </c>
      <c r="C123" t="s">
        <v>30</v>
      </c>
      <c r="D123" t="s">
        <v>31</v>
      </c>
      <c r="E123" t="s">
        <v>32</v>
      </c>
      <c r="F123" t="s">
        <v>55</v>
      </c>
      <c r="G123" t="s">
        <v>103</v>
      </c>
      <c r="H123" t="s">
        <v>104</v>
      </c>
      <c r="I123" t="s">
        <v>47</v>
      </c>
      <c r="J123" t="s">
        <v>79</v>
      </c>
      <c r="K123" t="s">
        <v>97</v>
      </c>
      <c r="L123" t="s">
        <v>98</v>
      </c>
      <c r="M123" t="s">
        <v>51</v>
      </c>
      <c r="N123">
        <v>567</v>
      </c>
      <c r="O123">
        <v>11952.53</v>
      </c>
      <c r="P123">
        <f t="shared" si="0"/>
        <v>6777084.5100000007</v>
      </c>
      <c r="Q123">
        <v>9</v>
      </c>
      <c r="R123">
        <v>11</v>
      </c>
      <c r="S123">
        <f t="shared" si="2"/>
        <v>2</v>
      </c>
      <c r="T123" t="str">
        <f t="shared" si="1"/>
        <v>No</v>
      </c>
      <c r="U123">
        <v>602</v>
      </c>
      <c r="V123">
        <v>218</v>
      </c>
      <c r="W123">
        <v>199</v>
      </c>
      <c r="X123">
        <v>25</v>
      </c>
      <c r="Y123">
        <v>35</v>
      </c>
      <c r="Z123">
        <v>7906.87</v>
      </c>
      <c r="AA123">
        <v>6635</v>
      </c>
      <c r="AB123">
        <v>0.93</v>
      </c>
    </row>
    <row r="124" spans="1:28" x14ac:dyDescent="0.3">
      <c r="A124" t="s">
        <v>292</v>
      </c>
      <c r="B124">
        <v>45198</v>
      </c>
      <c r="C124" t="s">
        <v>158</v>
      </c>
      <c r="D124" t="s">
        <v>159</v>
      </c>
      <c r="E124" t="s">
        <v>89</v>
      </c>
      <c r="F124" t="s">
        <v>55</v>
      </c>
      <c r="G124" t="s">
        <v>124</v>
      </c>
      <c r="H124" t="s">
        <v>125</v>
      </c>
      <c r="I124" t="s">
        <v>126</v>
      </c>
      <c r="J124" t="s">
        <v>127</v>
      </c>
      <c r="K124" t="s">
        <v>97</v>
      </c>
      <c r="L124" t="s">
        <v>98</v>
      </c>
      <c r="M124" t="s">
        <v>51</v>
      </c>
      <c r="N124">
        <v>368</v>
      </c>
      <c r="O124">
        <v>6556.32</v>
      </c>
      <c r="P124">
        <f t="shared" si="0"/>
        <v>2412725.7599999998</v>
      </c>
      <c r="Q124">
        <v>8</v>
      </c>
      <c r="R124">
        <v>6</v>
      </c>
      <c r="S124">
        <f t="shared" si="2"/>
        <v>0</v>
      </c>
      <c r="T124" t="str">
        <f t="shared" si="1"/>
        <v>Yes</v>
      </c>
      <c r="U124">
        <v>217</v>
      </c>
      <c r="V124">
        <v>280</v>
      </c>
      <c r="W124">
        <v>367</v>
      </c>
      <c r="X124">
        <v>15</v>
      </c>
      <c r="Y124">
        <v>20</v>
      </c>
      <c r="Z124">
        <v>5204.54</v>
      </c>
      <c r="AA124">
        <v>7746</v>
      </c>
      <c r="AB124">
        <v>0.82</v>
      </c>
    </row>
    <row r="125" spans="1:28" x14ac:dyDescent="0.3">
      <c r="A125" t="s">
        <v>293</v>
      </c>
      <c r="B125">
        <v>45198</v>
      </c>
      <c r="C125" t="s">
        <v>114</v>
      </c>
      <c r="D125" t="s">
        <v>115</v>
      </c>
      <c r="E125" t="s">
        <v>116</v>
      </c>
      <c r="F125" t="s">
        <v>33</v>
      </c>
      <c r="G125" t="s">
        <v>124</v>
      </c>
      <c r="H125" t="s">
        <v>125</v>
      </c>
      <c r="I125" t="s">
        <v>126</v>
      </c>
      <c r="J125" t="s">
        <v>127</v>
      </c>
      <c r="K125" t="s">
        <v>80</v>
      </c>
      <c r="L125" t="s">
        <v>81</v>
      </c>
      <c r="M125" t="s">
        <v>40</v>
      </c>
      <c r="N125">
        <v>675</v>
      </c>
      <c r="O125">
        <v>2944.25</v>
      </c>
      <c r="P125">
        <f t="shared" si="0"/>
        <v>1987368.75</v>
      </c>
      <c r="Q125">
        <v>15</v>
      </c>
      <c r="R125">
        <v>23</v>
      </c>
      <c r="S125">
        <f t="shared" si="2"/>
        <v>8</v>
      </c>
      <c r="T125" t="str">
        <f t="shared" si="1"/>
        <v>No</v>
      </c>
      <c r="U125">
        <v>2205</v>
      </c>
      <c r="V125">
        <v>510</v>
      </c>
      <c r="W125">
        <v>521</v>
      </c>
      <c r="X125">
        <v>11</v>
      </c>
      <c r="Y125">
        <v>15</v>
      </c>
      <c r="Z125">
        <v>2189.77</v>
      </c>
      <c r="AA125">
        <v>6721</v>
      </c>
      <c r="AB125">
        <v>0.84</v>
      </c>
    </row>
    <row r="126" spans="1:28" x14ac:dyDescent="0.3">
      <c r="A126" t="s">
        <v>294</v>
      </c>
      <c r="B126">
        <v>45198</v>
      </c>
      <c r="C126" t="s">
        <v>109</v>
      </c>
      <c r="D126" t="s">
        <v>110</v>
      </c>
      <c r="E126" t="s">
        <v>32</v>
      </c>
      <c r="F126" t="s">
        <v>55</v>
      </c>
      <c r="G126" t="s">
        <v>56</v>
      </c>
      <c r="H126" t="s">
        <v>57</v>
      </c>
      <c r="I126" t="s">
        <v>58</v>
      </c>
      <c r="J126" t="s">
        <v>59</v>
      </c>
      <c r="K126" t="s">
        <v>93</v>
      </c>
      <c r="L126" t="s">
        <v>94</v>
      </c>
      <c r="M126" t="s">
        <v>95</v>
      </c>
      <c r="N126">
        <v>478</v>
      </c>
      <c r="O126">
        <v>2349.71</v>
      </c>
      <c r="P126">
        <f t="shared" si="0"/>
        <v>1123161.3800000001</v>
      </c>
      <c r="Q126">
        <v>29</v>
      </c>
      <c r="R126">
        <v>28</v>
      </c>
      <c r="S126">
        <f t="shared" si="2"/>
        <v>0</v>
      </c>
      <c r="T126" t="str">
        <f t="shared" si="1"/>
        <v>Yes</v>
      </c>
      <c r="U126">
        <v>58</v>
      </c>
      <c r="V126">
        <v>406</v>
      </c>
      <c r="W126">
        <v>608</v>
      </c>
      <c r="X126">
        <v>6</v>
      </c>
      <c r="Y126">
        <v>9</v>
      </c>
      <c r="Z126">
        <v>1877.93</v>
      </c>
      <c r="AA126">
        <v>1100</v>
      </c>
      <c r="AB126">
        <v>0.85</v>
      </c>
    </row>
    <row r="127" spans="1:28" x14ac:dyDescent="0.3">
      <c r="A127" t="s">
        <v>295</v>
      </c>
      <c r="B127">
        <v>45198</v>
      </c>
      <c r="C127" t="s">
        <v>100</v>
      </c>
      <c r="D127" t="s">
        <v>101</v>
      </c>
      <c r="E127" t="s">
        <v>76</v>
      </c>
      <c r="F127" t="s">
        <v>117</v>
      </c>
      <c r="G127" t="s">
        <v>119</v>
      </c>
      <c r="H127" t="s">
        <v>120</v>
      </c>
      <c r="I127" t="s">
        <v>58</v>
      </c>
      <c r="J127" t="s">
        <v>59</v>
      </c>
      <c r="K127" t="s">
        <v>80</v>
      </c>
      <c r="L127" t="s">
        <v>81</v>
      </c>
      <c r="M127" t="s">
        <v>40</v>
      </c>
      <c r="N127">
        <v>856</v>
      </c>
      <c r="O127">
        <v>914.75</v>
      </c>
      <c r="P127">
        <f t="shared" si="0"/>
        <v>783026</v>
      </c>
      <c r="Q127">
        <v>24</v>
      </c>
      <c r="R127">
        <v>22</v>
      </c>
      <c r="S127">
        <f t="shared" si="2"/>
        <v>0</v>
      </c>
      <c r="T127" t="str">
        <f t="shared" si="1"/>
        <v>Yes</v>
      </c>
      <c r="U127">
        <v>900</v>
      </c>
      <c r="V127">
        <v>1115</v>
      </c>
      <c r="W127">
        <v>1147</v>
      </c>
      <c r="X127">
        <v>4</v>
      </c>
      <c r="Y127">
        <v>6</v>
      </c>
      <c r="Z127">
        <v>565.54</v>
      </c>
      <c r="AA127">
        <v>2533</v>
      </c>
      <c r="AB127">
        <v>0.97</v>
      </c>
    </row>
    <row r="128" spans="1:28" x14ac:dyDescent="0.3">
      <c r="A128" t="s">
        <v>296</v>
      </c>
      <c r="B128">
        <v>45201</v>
      </c>
      <c r="C128" t="s">
        <v>74</v>
      </c>
      <c r="D128" t="s">
        <v>75</v>
      </c>
      <c r="E128" t="s">
        <v>76</v>
      </c>
      <c r="F128" t="s">
        <v>102</v>
      </c>
      <c r="G128" t="s">
        <v>124</v>
      </c>
      <c r="H128" t="s">
        <v>125</v>
      </c>
      <c r="I128" t="s">
        <v>126</v>
      </c>
      <c r="J128" t="s">
        <v>127</v>
      </c>
      <c r="K128" t="s">
        <v>70</v>
      </c>
      <c r="L128" t="s">
        <v>71</v>
      </c>
      <c r="M128" t="s">
        <v>72</v>
      </c>
      <c r="N128">
        <v>767</v>
      </c>
      <c r="O128">
        <v>319.17</v>
      </c>
      <c r="P128">
        <f t="shared" si="0"/>
        <v>244803.39</v>
      </c>
      <c r="Q128">
        <v>16</v>
      </c>
      <c r="R128">
        <v>13</v>
      </c>
      <c r="S128">
        <f t="shared" si="2"/>
        <v>0</v>
      </c>
      <c r="T128" t="str">
        <f t="shared" si="1"/>
        <v>Yes</v>
      </c>
      <c r="U128">
        <v>41</v>
      </c>
      <c r="V128">
        <v>1098</v>
      </c>
      <c r="W128">
        <v>1220</v>
      </c>
      <c r="X128">
        <v>2</v>
      </c>
      <c r="Y128">
        <v>4</v>
      </c>
      <c r="Z128">
        <v>240.1</v>
      </c>
      <c r="AA128">
        <v>1337</v>
      </c>
      <c r="AB128">
        <v>0.74</v>
      </c>
    </row>
    <row r="129" spans="1:28" x14ac:dyDescent="0.3">
      <c r="A129" t="s">
        <v>297</v>
      </c>
      <c r="B129">
        <v>45203</v>
      </c>
      <c r="C129" t="s">
        <v>144</v>
      </c>
      <c r="D129" t="s">
        <v>145</v>
      </c>
      <c r="E129" t="s">
        <v>76</v>
      </c>
      <c r="F129" t="s">
        <v>33</v>
      </c>
      <c r="G129" t="s">
        <v>124</v>
      </c>
      <c r="H129" t="s">
        <v>125</v>
      </c>
      <c r="I129" t="s">
        <v>126</v>
      </c>
      <c r="J129" t="s">
        <v>127</v>
      </c>
      <c r="K129" t="s">
        <v>70</v>
      </c>
      <c r="L129" t="s">
        <v>71</v>
      </c>
      <c r="M129" t="s">
        <v>72</v>
      </c>
      <c r="N129">
        <v>438</v>
      </c>
      <c r="O129">
        <v>199.38</v>
      </c>
      <c r="P129">
        <f t="shared" si="0"/>
        <v>87328.44</v>
      </c>
      <c r="Q129">
        <v>8</v>
      </c>
      <c r="R129">
        <v>17</v>
      </c>
      <c r="S129">
        <f t="shared" si="2"/>
        <v>9</v>
      </c>
      <c r="T129" t="str">
        <f t="shared" si="1"/>
        <v>No</v>
      </c>
      <c r="U129">
        <v>502</v>
      </c>
      <c r="V129">
        <v>279</v>
      </c>
      <c r="W129">
        <v>376</v>
      </c>
      <c r="X129">
        <v>2.5</v>
      </c>
      <c r="Y129">
        <v>4</v>
      </c>
      <c r="Z129">
        <v>139.47999999999999</v>
      </c>
      <c r="AA129">
        <v>5488</v>
      </c>
      <c r="AB129">
        <v>0.76</v>
      </c>
    </row>
    <row r="130" spans="1:28" x14ac:dyDescent="0.3">
      <c r="A130" t="s">
        <v>298</v>
      </c>
      <c r="B130">
        <v>45205</v>
      </c>
      <c r="C130" t="s">
        <v>109</v>
      </c>
      <c r="D130" t="s">
        <v>110</v>
      </c>
      <c r="E130" t="s">
        <v>32</v>
      </c>
      <c r="F130" t="s">
        <v>102</v>
      </c>
      <c r="G130" t="s">
        <v>160</v>
      </c>
      <c r="H130" t="s">
        <v>161</v>
      </c>
      <c r="I130" t="s">
        <v>47</v>
      </c>
      <c r="J130" t="s">
        <v>79</v>
      </c>
      <c r="K130" t="s">
        <v>49</v>
      </c>
      <c r="L130" t="s">
        <v>50</v>
      </c>
      <c r="M130" t="s">
        <v>51</v>
      </c>
      <c r="N130">
        <v>674</v>
      </c>
      <c r="O130">
        <v>2691.67</v>
      </c>
      <c r="P130">
        <f t="shared" si="0"/>
        <v>1814185.58</v>
      </c>
      <c r="Q130">
        <v>10</v>
      </c>
      <c r="R130">
        <v>8</v>
      </c>
      <c r="S130">
        <f t="shared" si="2"/>
        <v>0</v>
      </c>
      <c r="T130" t="str">
        <f t="shared" si="1"/>
        <v>Yes</v>
      </c>
      <c r="U130">
        <v>2871</v>
      </c>
      <c r="V130">
        <v>789</v>
      </c>
      <c r="W130">
        <v>1173</v>
      </c>
      <c r="X130">
        <v>6</v>
      </c>
      <c r="Y130">
        <v>9</v>
      </c>
      <c r="Z130">
        <v>2069.5500000000002</v>
      </c>
      <c r="AA130">
        <v>1349</v>
      </c>
      <c r="AB130">
        <v>0.82</v>
      </c>
    </row>
    <row r="131" spans="1:28" x14ac:dyDescent="0.3">
      <c r="A131" t="s">
        <v>299</v>
      </c>
      <c r="B131">
        <v>45207</v>
      </c>
      <c r="C131" t="s">
        <v>109</v>
      </c>
      <c r="D131" t="s">
        <v>110</v>
      </c>
      <c r="E131" t="s">
        <v>32</v>
      </c>
      <c r="F131" t="s">
        <v>44</v>
      </c>
      <c r="G131" t="s">
        <v>300</v>
      </c>
      <c r="H131" t="s">
        <v>301</v>
      </c>
      <c r="I131" t="s">
        <v>47</v>
      </c>
      <c r="J131" t="s">
        <v>85</v>
      </c>
      <c r="K131" t="s">
        <v>49</v>
      </c>
      <c r="L131" t="s">
        <v>50</v>
      </c>
      <c r="M131" t="s">
        <v>51</v>
      </c>
      <c r="N131">
        <v>834</v>
      </c>
      <c r="O131">
        <v>2240.02</v>
      </c>
      <c r="P131">
        <f t="shared" si="0"/>
        <v>1868176.68</v>
      </c>
      <c r="Q131">
        <v>18</v>
      </c>
      <c r="R131">
        <v>26</v>
      </c>
      <c r="S131">
        <f t="shared" si="2"/>
        <v>8</v>
      </c>
      <c r="T131" t="str">
        <f t="shared" si="1"/>
        <v>No</v>
      </c>
      <c r="U131">
        <v>1244</v>
      </c>
      <c r="V131">
        <v>1093</v>
      </c>
      <c r="W131">
        <v>1293</v>
      </c>
      <c r="X131">
        <v>6</v>
      </c>
      <c r="Y131">
        <v>9</v>
      </c>
      <c r="Z131">
        <v>1484.65</v>
      </c>
      <c r="AA131">
        <v>6536</v>
      </c>
      <c r="AB131">
        <v>0.96</v>
      </c>
    </row>
    <row r="132" spans="1:28" x14ac:dyDescent="0.3">
      <c r="A132" t="s">
        <v>302</v>
      </c>
      <c r="B132">
        <v>45208</v>
      </c>
      <c r="C132" t="s">
        <v>106</v>
      </c>
      <c r="D132" t="s">
        <v>107</v>
      </c>
      <c r="E132" t="s">
        <v>76</v>
      </c>
      <c r="F132" t="s">
        <v>117</v>
      </c>
      <c r="G132" t="s">
        <v>124</v>
      </c>
      <c r="H132" t="s">
        <v>125</v>
      </c>
      <c r="I132" t="s">
        <v>126</v>
      </c>
      <c r="J132" t="s">
        <v>127</v>
      </c>
      <c r="K132" t="s">
        <v>80</v>
      </c>
      <c r="L132" t="s">
        <v>81</v>
      </c>
      <c r="M132" t="s">
        <v>40</v>
      </c>
      <c r="N132">
        <v>250</v>
      </c>
      <c r="O132">
        <v>2129.44</v>
      </c>
      <c r="P132">
        <f t="shared" si="0"/>
        <v>532360</v>
      </c>
      <c r="Q132">
        <v>15</v>
      </c>
      <c r="R132">
        <v>16</v>
      </c>
      <c r="S132">
        <f t="shared" si="2"/>
        <v>1</v>
      </c>
      <c r="T132" t="str">
        <f t="shared" si="1"/>
        <v>No</v>
      </c>
      <c r="U132">
        <v>586</v>
      </c>
      <c r="V132">
        <v>120</v>
      </c>
      <c r="W132">
        <v>128</v>
      </c>
      <c r="X132">
        <v>7</v>
      </c>
      <c r="Y132">
        <v>10</v>
      </c>
      <c r="Z132">
        <v>1342.74</v>
      </c>
      <c r="AA132">
        <v>2252</v>
      </c>
      <c r="AB132">
        <v>0.72</v>
      </c>
    </row>
    <row r="133" spans="1:28" x14ac:dyDescent="0.3">
      <c r="A133" t="s">
        <v>303</v>
      </c>
      <c r="B133">
        <v>45210</v>
      </c>
      <c r="C133" t="s">
        <v>53</v>
      </c>
      <c r="D133" t="s">
        <v>54</v>
      </c>
      <c r="E133" t="s">
        <v>32</v>
      </c>
      <c r="F133" t="s">
        <v>55</v>
      </c>
      <c r="G133" t="s">
        <v>90</v>
      </c>
      <c r="H133" t="s">
        <v>91</v>
      </c>
      <c r="I133" t="s">
        <v>58</v>
      </c>
      <c r="J133" t="s">
        <v>92</v>
      </c>
      <c r="K133" t="s">
        <v>38</v>
      </c>
      <c r="L133" t="s">
        <v>39</v>
      </c>
      <c r="M133" t="s">
        <v>40</v>
      </c>
      <c r="N133">
        <v>624</v>
      </c>
      <c r="O133">
        <v>486.13</v>
      </c>
      <c r="P133">
        <f t="shared" si="0"/>
        <v>303345.12</v>
      </c>
      <c r="Q133">
        <v>14</v>
      </c>
      <c r="R133">
        <v>20</v>
      </c>
      <c r="S133">
        <f t="shared" si="2"/>
        <v>6</v>
      </c>
      <c r="T133" t="str">
        <f t="shared" si="1"/>
        <v>No</v>
      </c>
      <c r="U133">
        <v>1255</v>
      </c>
      <c r="V133">
        <v>341</v>
      </c>
      <c r="W133">
        <v>417</v>
      </c>
      <c r="X133">
        <v>3</v>
      </c>
      <c r="Y133">
        <v>5</v>
      </c>
      <c r="Z133">
        <v>310.02</v>
      </c>
      <c r="AA133">
        <v>3709</v>
      </c>
      <c r="AB133">
        <v>0.78</v>
      </c>
    </row>
    <row r="134" spans="1:28" x14ac:dyDescent="0.3">
      <c r="A134" t="s">
        <v>304</v>
      </c>
      <c r="B134">
        <v>45216</v>
      </c>
      <c r="C134" t="s">
        <v>109</v>
      </c>
      <c r="D134" t="s">
        <v>110</v>
      </c>
      <c r="E134" t="s">
        <v>32</v>
      </c>
      <c r="F134" t="s">
        <v>102</v>
      </c>
      <c r="G134" t="s">
        <v>90</v>
      </c>
      <c r="H134" t="s">
        <v>91</v>
      </c>
      <c r="I134" t="s">
        <v>58</v>
      </c>
      <c r="J134" t="s">
        <v>92</v>
      </c>
      <c r="K134" t="s">
        <v>93</v>
      </c>
      <c r="L134" t="s">
        <v>94</v>
      </c>
      <c r="M134" t="s">
        <v>95</v>
      </c>
      <c r="N134">
        <v>325</v>
      </c>
      <c r="O134">
        <v>2316.94</v>
      </c>
      <c r="P134">
        <f t="shared" si="0"/>
        <v>753005.5</v>
      </c>
      <c r="Q134">
        <v>21</v>
      </c>
      <c r="R134">
        <v>27</v>
      </c>
      <c r="S134">
        <f t="shared" si="2"/>
        <v>6</v>
      </c>
      <c r="T134" t="str">
        <f t="shared" si="1"/>
        <v>No</v>
      </c>
      <c r="U134">
        <v>423</v>
      </c>
      <c r="V134">
        <v>410</v>
      </c>
      <c r="W134">
        <v>535</v>
      </c>
      <c r="X134">
        <v>6</v>
      </c>
      <c r="Y134">
        <v>9</v>
      </c>
      <c r="Z134">
        <v>1743.09</v>
      </c>
      <c r="AA134">
        <v>3123</v>
      </c>
      <c r="AB134">
        <v>0.96</v>
      </c>
    </row>
    <row r="135" spans="1:28" x14ac:dyDescent="0.3">
      <c r="A135" t="s">
        <v>305</v>
      </c>
      <c r="B135">
        <v>45217</v>
      </c>
      <c r="C135" t="s">
        <v>114</v>
      </c>
      <c r="D135" t="s">
        <v>115</v>
      </c>
      <c r="E135" t="s">
        <v>116</v>
      </c>
      <c r="F135" t="s">
        <v>33</v>
      </c>
      <c r="G135" t="s">
        <v>155</v>
      </c>
      <c r="H135" t="s">
        <v>156</v>
      </c>
      <c r="I135" t="s">
        <v>58</v>
      </c>
      <c r="J135" t="s">
        <v>92</v>
      </c>
      <c r="K135" t="s">
        <v>60</v>
      </c>
      <c r="L135" t="s">
        <v>61</v>
      </c>
      <c r="M135" t="s">
        <v>62</v>
      </c>
      <c r="N135">
        <v>589</v>
      </c>
      <c r="O135">
        <v>3561.94</v>
      </c>
      <c r="P135">
        <f t="shared" si="0"/>
        <v>2097982.66</v>
      </c>
      <c r="Q135">
        <v>30</v>
      </c>
      <c r="R135">
        <v>38</v>
      </c>
      <c r="S135">
        <f t="shared" si="2"/>
        <v>8</v>
      </c>
      <c r="T135" t="str">
        <f t="shared" si="1"/>
        <v>No</v>
      </c>
      <c r="U135">
        <v>218</v>
      </c>
      <c r="V135">
        <v>209</v>
      </c>
      <c r="W135">
        <v>258</v>
      </c>
      <c r="X135">
        <v>11</v>
      </c>
      <c r="Y135">
        <v>15</v>
      </c>
      <c r="Z135">
        <v>2733.22</v>
      </c>
      <c r="AA135">
        <v>633</v>
      </c>
      <c r="AB135">
        <v>0.73</v>
      </c>
    </row>
    <row r="136" spans="1:28" x14ac:dyDescent="0.3">
      <c r="A136" t="s">
        <v>306</v>
      </c>
      <c r="B136">
        <v>45219</v>
      </c>
      <c r="C136" t="s">
        <v>64</v>
      </c>
      <c r="D136" t="s">
        <v>65</v>
      </c>
      <c r="E136" t="s">
        <v>66</v>
      </c>
      <c r="F136" t="s">
        <v>117</v>
      </c>
      <c r="G136" t="s">
        <v>240</v>
      </c>
      <c r="H136" t="s">
        <v>241</v>
      </c>
      <c r="I136" t="s">
        <v>126</v>
      </c>
      <c r="J136" t="s">
        <v>127</v>
      </c>
      <c r="K136" t="s">
        <v>70</v>
      </c>
      <c r="L136" t="s">
        <v>71</v>
      </c>
      <c r="M136" t="s">
        <v>72</v>
      </c>
      <c r="N136">
        <v>451</v>
      </c>
      <c r="O136">
        <v>79.349999999999994</v>
      </c>
      <c r="P136">
        <f t="shared" si="0"/>
        <v>35786.85</v>
      </c>
      <c r="Q136">
        <v>13</v>
      </c>
      <c r="R136">
        <v>17</v>
      </c>
      <c r="S136">
        <f t="shared" si="2"/>
        <v>4</v>
      </c>
      <c r="T136" t="str">
        <f t="shared" si="1"/>
        <v>No</v>
      </c>
      <c r="U136">
        <v>1518</v>
      </c>
      <c r="V136">
        <v>159</v>
      </c>
      <c r="W136">
        <v>132</v>
      </c>
      <c r="X136">
        <v>2</v>
      </c>
      <c r="Y136">
        <v>3</v>
      </c>
      <c r="Z136">
        <v>56.52</v>
      </c>
      <c r="AA136">
        <v>3469</v>
      </c>
      <c r="AB136">
        <v>0.85</v>
      </c>
    </row>
    <row r="137" spans="1:28" x14ac:dyDescent="0.3">
      <c r="A137" t="s">
        <v>307</v>
      </c>
      <c r="B137">
        <v>45221</v>
      </c>
      <c r="C137" t="s">
        <v>64</v>
      </c>
      <c r="D137" t="s">
        <v>65</v>
      </c>
      <c r="E137" t="s">
        <v>66</v>
      </c>
      <c r="F137" t="s">
        <v>55</v>
      </c>
      <c r="G137" t="s">
        <v>164</v>
      </c>
      <c r="H137" t="s">
        <v>165</v>
      </c>
      <c r="I137" t="s">
        <v>47</v>
      </c>
      <c r="J137" t="s">
        <v>48</v>
      </c>
      <c r="K137" t="s">
        <v>49</v>
      </c>
      <c r="L137" t="s">
        <v>50</v>
      </c>
      <c r="M137" t="s">
        <v>51</v>
      </c>
      <c r="N137">
        <v>977</v>
      </c>
      <c r="O137">
        <v>83.84</v>
      </c>
      <c r="P137">
        <f t="shared" si="0"/>
        <v>81911.680000000008</v>
      </c>
      <c r="Q137">
        <v>23</v>
      </c>
      <c r="R137">
        <v>31</v>
      </c>
      <c r="S137">
        <f t="shared" si="2"/>
        <v>8</v>
      </c>
      <c r="T137" t="str">
        <f t="shared" si="1"/>
        <v>No</v>
      </c>
      <c r="U137">
        <v>1757</v>
      </c>
      <c r="V137">
        <v>1102</v>
      </c>
      <c r="W137">
        <v>1234</v>
      </c>
      <c r="X137">
        <v>2</v>
      </c>
      <c r="Y137">
        <v>3</v>
      </c>
      <c r="Z137">
        <v>55.37</v>
      </c>
      <c r="AA137">
        <v>3651</v>
      </c>
      <c r="AB137">
        <v>0.94</v>
      </c>
    </row>
    <row r="138" spans="1:28" x14ac:dyDescent="0.3">
      <c r="A138" t="s">
        <v>308</v>
      </c>
      <c r="B138">
        <v>45222</v>
      </c>
      <c r="C138" t="s">
        <v>106</v>
      </c>
      <c r="D138" t="s">
        <v>107</v>
      </c>
      <c r="E138" t="s">
        <v>76</v>
      </c>
      <c r="F138" t="s">
        <v>117</v>
      </c>
      <c r="G138" t="s">
        <v>167</v>
      </c>
      <c r="H138" t="s">
        <v>168</v>
      </c>
      <c r="I138" t="s">
        <v>47</v>
      </c>
      <c r="J138" t="s">
        <v>48</v>
      </c>
      <c r="K138" t="s">
        <v>80</v>
      </c>
      <c r="L138" t="s">
        <v>81</v>
      </c>
      <c r="M138" t="s">
        <v>40</v>
      </c>
      <c r="N138">
        <v>726</v>
      </c>
      <c r="O138">
        <v>2201.38</v>
      </c>
      <c r="P138">
        <f t="shared" si="0"/>
        <v>1598201.8800000001</v>
      </c>
      <c r="Q138">
        <v>13</v>
      </c>
      <c r="R138">
        <v>21</v>
      </c>
      <c r="S138">
        <f t="shared" si="2"/>
        <v>8</v>
      </c>
      <c r="T138" t="str">
        <f t="shared" si="1"/>
        <v>No</v>
      </c>
      <c r="U138">
        <v>2042</v>
      </c>
      <c r="V138">
        <v>599</v>
      </c>
      <c r="W138">
        <v>729</v>
      </c>
      <c r="X138">
        <v>7</v>
      </c>
      <c r="Y138">
        <v>10</v>
      </c>
      <c r="Z138">
        <v>1712.42</v>
      </c>
      <c r="AA138">
        <v>6517</v>
      </c>
      <c r="AB138">
        <v>0.79</v>
      </c>
    </row>
    <row r="139" spans="1:28" x14ac:dyDescent="0.3">
      <c r="A139" t="s">
        <v>309</v>
      </c>
      <c r="B139">
        <v>45225</v>
      </c>
      <c r="C139" t="s">
        <v>230</v>
      </c>
      <c r="D139" t="s">
        <v>231</v>
      </c>
      <c r="E139" t="s">
        <v>89</v>
      </c>
      <c r="F139" t="s">
        <v>102</v>
      </c>
      <c r="G139" t="s">
        <v>45</v>
      </c>
      <c r="H139" t="s">
        <v>46</v>
      </c>
      <c r="I139" t="s">
        <v>47</v>
      </c>
      <c r="J139" t="s">
        <v>48</v>
      </c>
      <c r="K139" t="s">
        <v>97</v>
      </c>
      <c r="L139" t="s">
        <v>98</v>
      </c>
      <c r="M139" t="s">
        <v>51</v>
      </c>
      <c r="N139">
        <v>752</v>
      </c>
      <c r="O139">
        <v>1687.93</v>
      </c>
      <c r="P139">
        <f t="shared" si="0"/>
        <v>1269323.3600000001</v>
      </c>
      <c r="Q139">
        <v>12</v>
      </c>
      <c r="R139">
        <v>20</v>
      </c>
      <c r="S139">
        <f t="shared" si="2"/>
        <v>8</v>
      </c>
      <c r="T139" t="str">
        <f t="shared" si="1"/>
        <v>No</v>
      </c>
      <c r="U139">
        <v>714</v>
      </c>
      <c r="V139">
        <v>844</v>
      </c>
      <c r="W139">
        <v>775</v>
      </c>
      <c r="X139">
        <v>5</v>
      </c>
      <c r="Y139">
        <v>7</v>
      </c>
      <c r="Z139">
        <v>1103.54</v>
      </c>
      <c r="AA139">
        <v>2698</v>
      </c>
      <c r="AB139">
        <v>0.84</v>
      </c>
    </row>
    <row r="140" spans="1:28" x14ac:dyDescent="0.3">
      <c r="A140" t="s">
        <v>310</v>
      </c>
      <c r="B140">
        <v>45225</v>
      </c>
      <c r="C140" t="s">
        <v>53</v>
      </c>
      <c r="D140" t="s">
        <v>54</v>
      </c>
      <c r="E140" t="s">
        <v>32</v>
      </c>
      <c r="F140" t="s">
        <v>102</v>
      </c>
      <c r="G140" t="s">
        <v>56</v>
      </c>
      <c r="H140" t="s">
        <v>57</v>
      </c>
      <c r="I140" t="s">
        <v>58</v>
      </c>
      <c r="J140" t="s">
        <v>59</v>
      </c>
      <c r="K140" t="s">
        <v>49</v>
      </c>
      <c r="L140" t="s">
        <v>50</v>
      </c>
      <c r="M140" t="s">
        <v>51</v>
      </c>
      <c r="N140">
        <v>152</v>
      </c>
      <c r="O140">
        <v>476.25</v>
      </c>
      <c r="P140">
        <f t="shared" si="0"/>
        <v>72390</v>
      </c>
      <c r="Q140">
        <v>12</v>
      </c>
      <c r="R140">
        <v>20</v>
      </c>
      <c r="S140">
        <f t="shared" si="2"/>
        <v>8</v>
      </c>
      <c r="T140" t="str">
        <f t="shared" si="1"/>
        <v>No</v>
      </c>
      <c r="U140">
        <v>651</v>
      </c>
      <c r="V140">
        <v>176</v>
      </c>
      <c r="W140">
        <v>238</v>
      </c>
      <c r="X140">
        <v>3</v>
      </c>
      <c r="Y140">
        <v>5</v>
      </c>
      <c r="Z140">
        <v>292.8</v>
      </c>
      <c r="AA140">
        <v>5398</v>
      </c>
      <c r="AB140">
        <v>0.83</v>
      </c>
    </row>
    <row r="141" spans="1:28" x14ac:dyDescent="0.3">
      <c r="A141" t="s">
        <v>311</v>
      </c>
      <c r="B141">
        <v>45229</v>
      </c>
      <c r="C141" t="s">
        <v>100</v>
      </c>
      <c r="D141" t="s">
        <v>101</v>
      </c>
      <c r="E141" t="s">
        <v>76</v>
      </c>
      <c r="F141" t="s">
        <v>33</v>
      </c>
      <c r="G141" t="s">
        <v>45</v>
      </c>
      <c r="H141" t="s">
        <v>46</v>
      </c>
      <c r="I141" t="s">
        <v>47</v>
      </c>
      <c r="J141" t="s">
        <v>48</v>
      </c>
      <c r="K141" t="s">
        <v>70</v>
      </c>
      <c r="L141" t="s">
        <v>71</v>
      </c>
      <c r="M141" t="s">
        <v>72</v>
      </c>
      <c r="N141">
        <v>687</v>
      </c>
      <c r="O141">
        <v>836.56</v>
      </c>
      <c r="P141">
        <f t="shared" si="0"/>
        <v>574716.72</v>
      </c>
      <c r="Q141">
        <v>29</v>
      </c>
      <c r="R141">
        <v>31</v>
      </c>
      <c r="S141">
        <f t="shared" si="2"/>
        <v>2</v>
      </c>
      <c r="T141" t="str">
        <f t="shared" si="1"/>
        <v>No</v>
      </c>
      <c r="U141">
        <v>2466</v>
      </c>
      <c r="V141">
        <v>516</v>
      </c>
      <c r="W141">
        <v>471</v>
      </c>
      <c r="X141">
        <v>4</v>
      </c>
      <c r="Y141">
        <v>6</v>
      </c>
      <c r="Z141">
        <v>641.03</v>
      </c>
      <c r="AA141">
        <v>6816</v>
      </c>
      <c r="AB141">
        <v>0.87</v>
      </c>
    </row>
    <row r="142" spans="1:28" x14ac:dyDescent="0.3">
      <c r="A142" t="s">
        <v>312</v>
      </c>
      <c r="B142">
        <v>45230</v>
      </c>
      <c r="C142" t="s">
        <v>210</v>
      </c>
      <c r="D142" t="s">
        <v>211</v>
      </c>
      <c r="E142" t="s">
        <v>66</v>
      </c>
      <c r="F142" t="s">
        <v>102</v>
      </c>
      <c r="G142" t="s">
        <v>218</v>
      </c>
      <c r="H142" t="s">
        <v>219</v>
      </c>
      <c r="I142" t="s">
        <v>58</v>
      </c>
      <c r="J142" t="s">
        <v>59</v>
      </c>
      <c r="K142" t="s">
        <v>70</v>
      </c>
      <c r="L142" t="s">
        <v>71</v>
      </c>
      <c r="M142" t="s">
        <v>72</v>
      </c>
      <c r="N142">
        <v>842</v>
      </c>
      <c r="O142">
        <v>26.42</v>
      </c>
      <c r="P142">
        <f t="shared" si="0"/>
        <v>22245.640000000003</v>
      </c>
      <c r="Q142">
        <v>6</v>
      </c>
      <c r="R142">
        <v>9</v>
      </c>
      <c r="S142">
        <f t="shared" si="2"/>
        <v>3</v>
      </c>
      <c r="T142" t="str">
        <f t="shared" si="1"/>
        <v>No</v>
      </c>
      <c r="U142">
        <v>2792</v>
      </c>
      <c r="V142">
        <v>568</v>
      </c>
      <c r="W142">
        <v>748</v>
      </c>
      <c r="X142">
        <v>1.2</v>
      </c>
      <c r="Y142">
        <v>2</v>
      </c>
      <c r="Z142">
        <v>16.36</v>
      </c>
      <c r="AA142">
        <v>6711</v>
      </c>
      <c r="AB142">
        <v>0.95</v>
      </c>
    </row>
    <row r="143" spans="1:28" x14ac:dyDescent="0.3">
      <c r="A143" t="s">
        <v>313</v>
      </c>
      <c r="B143">
        <v>45231</v>
      </c>
      <c r="C143" t="s">
        <v>150</v>
      </c>
      <c r="D143" t="s">
        <v>151</v>
      </c>
      <c r="E143" t="s">
        <v>66</v>
      </c>
      <c r="F143" t="s">
        <v>117</v>
      </c>
      <c r="G143" t="s">
        <v>218</v>
      </c>
      <c r="H143" t="s">
        <v>219</v>
      </c>
      <c r="I143" t="s">
        <v>58</v>
      </c>
      <c r="J143" t="s">
        <v>59</v>
      </c>
      <c r="K143" t="s">
        <v>49</v>
      </c>
      <c r="L143" t="s">
        <v>50</v>
      </c>
      <c r="M143" t="s">
        <v>51</v>
      </c>
      <c r="N143">
        <v>595</v>
      </c>
      <c r="O143">
        <v>46.68</v>
      </c>
      <c r="P143">
        <f t="shared" si="0"/>
        <v>27774.6</v>
      </c>
      <c r="Q143">
        <v>20</v>
      </c>
      <c r="R143">
        <v>17</v>
      </c>
      <c r="S143">
        <f t="shared" si="2"/>
        <v>0</v>
      </c>
      <c r="T143" t="str">
        <f t="shared" si="1"/>
        <v>Yes</v>
      </c>
      <c r="U143">
        <v>1497</v>
      </c>
      <c r="V143">
        <v>181</v>
      </c>
      <c r="W143">
        <v>155</v>
      </c>
      <c r="X143">
        <v>1.5</v>
      </c>
      <c r="Y143">
        <v>2</v>
      </c>
      <c r="Z143">
        <v>35.700000000000003</v>
      </c>
      <c r="AA143">
        <v>5620</v>
      </c>
      <c r="AB143">
        <v>0.87</v>
      </c>
    </row>
    <row r="144" spans="1:28" x14ac:dyDescent="0.3">
      <c r="A144" t="s">
        <v>314</v>
      </c>
      <c r="B144">
        <v>45233</v>
      </c>
      <c r="C144" t="s">
        <v>74</v>
      </c>
      <c r="D144" t="s">
        <v>75</v>
      </c>
      <c r="E144" t="s">
        <v>76</v>
      </c>
      <c r="F144" t="s">
        <v>102</v>
      </c>
      <c r="G144" t="s">
        <v>45</v>
      </c>
      <c r="H144" t="s">
        <v>46</v>
      </c>
      <c r="I144" t="s">
        <v>47</v>
      </c>
      <c r="J144" t="s">
        <v>48</v>
      </c>
      <c r="K144" t="s">
        <v>70</v>
      </c>
      <c r="L144" t="s">
        <v>71</v>
      </c>
      <c r="M144" t="s">
        <v>72</v>
      </c>
      <c r="N144">
        <v>666</v>
      </c>
      <c r="O144">
        <v>367.44</v>
      </c>
      <c r="P144">
        <f t="shared" si="0"/>
        <v>244715.04</v>
      </c>
      <c r="Q144">
        <v>9</v>
      </c>
      <c r="R144">
        <v>13</v>
      </c>
      <c r="S144">
        <f t="shared" si="2"/>
        <v>4</v>
      </c>
      <c r="T144" t="str">
        <f t="shared" si="1"/>
        <v>No</v>
      </c>
      <c r="U144">
        <v>2327</v>
      </c>
      <c r="V144">
        <v>206</v>
      </c>
      <c r="W144">
        <v>258</v>
      </c>
      <c r="X144">
        <v>2</v>
      </c>
      <c r="Y144">
        <v>4</v>
      </c>
      <c r="Z144">
        <v>252.8</v>
      </c>
      <c r="AA144">
        <v>6418</v>
      </c>
      <c r="AB144">
        <v>0.76</v>
      </c>
    </row>
    <row r="145" spans="1:28" x14ac:dyDescent="0.3">
      <c r="A145" t="s">
        <v>315</v>
      </c>
      <c r="B145">
        <v>45234</v>
      </c>
      <c r="C145" t="s">
        <v>223</v>
      </c>
      <c r="D145" t="s">
        <v>224</v>
      </c>
      <c r="E145" t="s">
        <v>32</v>
      </c>
      <c r="F145" t="s">
        <v>117</v>
      </c>
      <c r="G145" t="s">
        <v>192</v>
      </c>
      <c r="H145" t="s">
        <v>193</v>
      </c>
      <c r="I145" t="s">
        <v>47</v>
      </c>
      <c r="J145" t="s">
        <v>79</v>
      </c>
      <c r="K145" t="s">
        <v>93</v>
      </c>
      <c r="L145" t="s">
        <v>94</v>
      </c>
      <c r="M145" t="s">
        <v>95</v>
      </c>
      <c r="N145">
        <v>673</v>
      </c>
      <c r="O145">
        <v>1112.81</v>
      </c>
      <c r="P145">
        <f t="shared" si="0"/>
        <v>748921.13</v>
      </c>
      <c r="Q145">
        <v>30</v>
      </c>
      <c r="R145">
        <v>30</v>
      </c>
      <c r="S145">
        <f t="shared" si="2"/>
        <v>0</v>
      </c>
      <c r="T145" t="str">
        <f t="shared" si="1"/>
        <v>Yes</v>
      </c>
      <c r="U145">
        <v>2133</v>
      </c>
      <c r="V145">
        <v>342</v>
      </c>
      <c r="W145">
        <v>311</v>
      </c>
      <c r="X145">
        <v>5</v>
      </c>
      <c r="Y145">
        <v>8</v>
      </c>
      <c r="Z145">
        <v>792.29</v>
      </c>
      <c r="AA145">
        <v>4285</v>
      </c>
      <c r="AB145">
        <v>0.76</v>
      </c>
    </row>
    <row r="146" spans="1:28" x14ac:dyDescent="0.3">
      <c r="A146" t="s">
        <v>316</v>
      </c>
      <c r="B146">
        <v>45235</v>
      </c>
      <c r="C146" t="s">
        <v>144</v>
      </c>
      <c r="D146" t="s">
        <v>145</v>
      </c>
      <c r="E146" t="s">
        <v>76</v>
      </c>
      <c r="F146" t="s">
        <v>117</v>
      </c>
      <c r="G146" t="s">
        <v>160</v>
      </c>
      <c r="H146" t="s">
        <v>161</v>
      </c>
      <c r="I146" t="s">
        <v>47</v>
      </c>
      <c r="J146" t="s">
        <v>79</v>
      </c>
      <c r="K146" t="s">
        <v>70</v>
      </c>
      <c r="L146" t="s">
        <v>71</v>
      </c>
      <c r="M146" t="s">
        <v>72</v>
      </c>
      <c r="N146">
        <v>365</v>
      </c>
      <c r="O146">
        <v>185.97</v>
      </c>
      <c r="P146">
        <f t="shared" si="0"/>
        <v>67879.05</v>
      </c>
      <c r="Q146">
        <v>26</v>
      </c>
      <c r="R146">
        <v>25</v>
      </c>
      <c r="S146">
        <f t="shared" si="2"/>
        <v>0</v>
      </c>
      <c r="T146" t="str">
        <f t="shared" si="1"/>
        <v>Yes</v>
      </c>
      <c r="U146">
        <v>2092</v>
      </c>
      <c r="V146">
        <v>393</v>
      </c>
      <c r="W146">
        <v>317</v>
      </c>
      <c r="X146">
        <v>2.5</v>
      </c>
      <c r="Y146">
        <v>4</v>
      </c>
      <c r="Z146">
        <v>127.21</v>
      </c>
      <c r="AA146">
        <v>4515</v>
      </c>
      <c r="AB146">
        <v>0.73</v>
      </c>
    </row>
    <row r="147" spans="1:28" x14ac:dyDescent="0.3">
      <c r="A147" t="s">
        <v>317</v>
      </c>
      <c r="B147">
        <v>45236</v>
      </c>
      <c r="C147" t="s">
        <v>195</v>
      </c>
      <c r="D147" t="s">
        <v>196</v>
      </c>
      <c r="E147" t="s">
        <v>116</v>
      </c>
      <c r="F147" t="s">
        <v>55</v>
      </c>
      <c r="G147" t="s">
        <v>160</v>
      </c>
      <c r="H147" t="s">
        <v>161</v>
      </c>
      <c r="I147" t="s">
        <v>47</v>
      </c>
      <c r="J147" t="s">
        <v>79</v>
      </c>
      <c r="K147" t="s">
        <v>38</v>
      </c>
      <c r="L147" t="s">
        <v>39</v>
      </c>
      <c r="M147" t="s">
        <v>40</v>
      </c>
      <c r="N147">
        <v>425</v>
      </c>
      <c r="O147">
        <v>925.64</v>
      </c>
      <c r="P147">
        <f t="shared" si="0"/>
        <v>393397</v>
      </c>
      <c r="Q147">
        <v>7</v>
      </c>
      <c r="R147">
        <v>5</v>
      </c>
      <c r="S147">
        <f t="shared" si="2"/>
        <v>0</v>
      </c>
      <c r="T147" t="str">
        <f t="shared" si="1"/>
        <v>Yes</v>
      </c>
      <c r="U147">
        <v>1820</v>
      </c>
      <c r="V147">
        <v>339</v>
      </c>
      <c r="W147">
        <v>381</v>
      </c>
      <c r="X147">
        <v>4</v>
      </c>
      <c r="Y147">
        <v>6</v>
      </c>
      <c r="Z147">
        <v>618.36</v>
      </c>
      <c r="AA147">
        <v>1676</v>
      </c>
      <c r="AB147">
        <v>0.79</v>
      </c>
    </row>
    <row r="148" spans="1:28" x14ac:dyDescent="0.3">
      <c r="A148" t="s">
        <v>318</v>
      </c>
      <c r="B148">
        <v>45237</v>
      </c>
      <c r="C148" t="s">
        <v>87</v>
      </c>
      <c r="D148" t="s">
        <v>88</v>
      </c>
      <c r="E148" t="s">
        <v>89</v>
      </c>
      <c r="F148" t="s">
        <v>55</v>
      </c>
      <c r="G148" t="s">
        <v>67</v>
      </c>
      <c r="H148" t="s">
        <v>68</v>
      </c>
      <c r="I148" t="s">
        <v>58</v>
      </c>
      <c r="J148" t="s">
        <v>69</v>
      </c>
      <c r="K148" t="s">
        <v>97</v>
      </c>
      <c r="L148" t="s">
        <v>98</v>
      </c>
      <c r="M148" t="s">
        <v>51</v>
      </c>
      <c r="N148">
        <v>995</v>
      </c>
      <c r="O148">
        <v>9225.6299999999992</v>
      </c>
      <c r="P148">
        <f t="shared" si="0"/>
        <v>9179501.8499999996</v>
      </c>
      <c r="Q148">
        <v>28</v>
      </c>
      <c r="R148">
        <v>30</v>
      </c>
      <c r="S148">
        <f t="shared" si="2"/>
        <v>2</v>
      </c>
      <c r="T148" t="str">
        <f t="shared" si="1"/>
        <v>No</v>
      </c>
      <c r="U148">
        <v>2869</v>
      </c>
      <c r="V148">
        <v>1020</v>
      </c>
      <c r="W148">
        <v>962</v>
      </c>
      <c r="X148">
        <v>18</v>
      </c>
      <c r="Y148">
        <v>25</v>
      </c>
      <c r="Z148">
        <v>7223.91</v>
      </c>
      <c r="AA148">
        <v>5022</v>
      </c>
      <c r="AB148">
        <v>0.79</v>
      </c>
    </row>
    <row r="149" spans="1:28" x14ac:dyDescent="0.3">
      <c r="A149" t="s">
        <v>319</v>
      </c>
      <c r="B149">
        <v>45238</v>
      </c>
      <c r="C149" t="s">
        <v>122</v>
      </c>
      <c r="D149" t="s">
        <v>123</v>
      </c>
      <c r="E149" t="s">
        <v>89</v>
      </c>
      <c r="F149" t="s">
        <v>55</v>
      </c>
      <c r="G149" t="s">
        <v>77</v>
      </c>
      <c r="H149" t="s">
        <v>78</v>
      </c>
      <c r="I149" t="s">
        <v>47</v>
      </c>
      <c r="J149" t="s">
        <v>79</v>
      </c>
      <c r="K149" t="s">
        <v>178</v>
      </c>
      <c r="L149" t="s">
        <v>179</v>
      </c>
      <c r="M149" t="s">
        <v>62</v>
      </c>
      <c r="N149">
        <v>240</v>
      </c>
      <c r="O149">
        <v>2071.66</v>
      </c>
      <c r="P149">
        <f t="shared" si="0"/>
        <v>497198.39999999997</v>
      </c>
      <c r="Q149">
        <v>21</v>
      </c>
      <c r="R149">
        <v>20</v>
      </c>
      <c r="S149">
        <f t="shared" si="2"/>
        <v>0</v>
      </c>
      <c r="T149" t="str">
        <f t="shared" si="1"/>
        <v>Yes</v>
      </c>
      <c r="U149">
        <v>1046</v>
      </c>
      <c r="V149">
        <v>128</v>
      </c>
      <c r="W149">
        <v>188</v>
      </c>
      <c r="X149">
        <v>8</v>
      </c>
      <c r="Y149">
        <v>12</v>
      </c>
      <c r="Z149">
        <v>1356.71</v>
      </c>
      <c r="AA149">
        <v>5620</v>
      </c>
      <c r="AB149">
        <v>0.78</v>
      </c>
    </row>
    <row r="150" spans="1:28" x14ac:dyDescent="0.3">
      <c r="A150" t="s">
        <v>320</v>
      </c>
      <c r="B150">
        <v>45241</v>
      </c>
      <c r="C150" t="s">
        <v>150</v>
      </c>
      <c r="D150" t="s">
        <v>151</v>
      </c>
      <c r="E150" t="s">
        <v>66</v>
      </c>
      <c r="F150" t="s">
        <v>117</v>
      </c>
      <c r="G150" t="s">
        <v>201</v>
      </c>
      <c r="H150" t="s">
        <v>202</v>
      </c>
      <c r="I150" t="s">
        <v>203</v>
      </c>
      <c r="J150" t="s">
        <v>127</v>
      </c>
      <c r="K150" t="s">
        <v>70</v>
      </c>
      <c r="L150" t="s">
        <v>71</v>
      </c>
      <c r="M150" t="s">
        <v>72</v>
      </c>
      <c r="N150">
        <v>97</v>
      </c>
      <c r="O150">
        <v>48.73</v>
      </c>
      <c r="P150">
        <f t="shared" si="0"/>
        <v>4726.8099999999995</v>
      </c>
      <c r="Q150">
        <v>7</v>
      </c>
      <c r="R150">
        <v>9</v>
      </c>
      <c r="S150">
        <f t="shared" si="2"/>
        <v>2</v>
      </c>
      <c r="T150" t="str">
        <f t="shared" si="1"/>
        <v>No</v>
      </c>
      <c r="U150">
        <v>545</v>
      </c>
      <c r="V150">
        <v>105</v>
      </c>
      <c r="W150">
        <v>153</v>
      </c>
      <c r="X150">
        <v>1.5</v>
      </c>
      <c r="Y150">
        <v>2</v>
      </c>
      <c r="Z150">
        <v>30.85</v>
      </c>
      <c r="AA150">
        <v>4822</v>
      </c>
      <c r="AB150">
        <v>0.94</v>
      </c>
    </row>
    <row r="151" spans="1:28" x14ac:dyDescent="0.3">
      <c r="A151" t="s">
        <v>321</v>
      </c>
      <c r="B151">
        <v>45244</v>
      </c>
      <c r="C151" t="s">
        <v>150</v>
      </c>
      <c r="D151" t="s">
        <v>151</v>
      </c>
      <c r="E151" t="s">
        <v>66</v>
      </c>
      <c r="F151" t="s">
        <v>55</v>
      </c>
      <c r="G151" t="s">
        <v>254</v>
      </c>
      <c r="H151" t="s">
        <v>255</v>
      </c>
      <c r="I151" t="s">
        <v>58</v>
      </c>
      <c r="J151" t="s">
        <v>59</v>
      </c>
      <c r="K151" t="s">
        <v>70</v>
      </c>
      <c r="L151" t="s">
        <v>71</v>
      </c>
      <c r="M151" t="s">
        <v>72</v>
      </c>
      <c r="N151">
        <v>57</v>
      </c>
      <c r="O151">
        <v>43.25</v>
      </c>
      <c r="P151">
        <f t="shared" si="0"/>
        <v>2465.25</v>
      </c>
      <c r="Q151">
        <v>20</v>
      </c>
      <c r="R151">
        <v>21</v>
      </c>
      <c r="S151">
        <f t="shared" si="2"/>
        <v>1</v>
      </c>
      <c r="T151" t="str">
        <f t="shared" si="1"/>
        <v>No</v>
      </c>
      <c r="U151">
        <v>1885</v>
      </c>
      <c r="V151">
        <v>45</v>
      </c>
      <c r="W151">
        <v>55</v>
      </c>
      <c r="X151">
        <v>1.5</v>
      </c>
      <c r="Y151">
        <v>2</v>
      </c>
      <c r="Z151">
        <v>27.63</v>
      </c>
      <c r="AA151">
        <v>6204</v>
      </c>
      <c r="AB151">
        <v>0.81</v>
      </c>
    </row>
    <row r="152" spans="1:28" x14ac:dyDescent="0.3">
      <c r="A152" t="s">
        <v>322</v>
      </c>
      <c r="B152">
        <v>45247</v>
      </c>
      <c r="C152" t="s">
        <v>100</v>
      </c>
      <c r="D152" t="s">
        <v>101</v>
      </c>
      <c r="E152" t="s">
        <v>76</v>
      </c>
      <c r="F152" t="s">
        <v>55</v>
      </c>
      <c r="G152" t="s">
        <v>300</v>
      </c>
      <c r="H152" t="s">
        <v>301</v>
      </c>
      <c r="I152" t="s">
        <v>47</v>
      </c>
      <c r="J152" t="s">
        <v>85</v>
      </c>
      <c r="K152" t="s">
        <v>70</v>
      </c>
      <c r="L152" t="s">
        <v>71</v>
      </c>
      <c r="M152" t="s">
        <v>72</v>
      </c>
      <c r="N152">
        <v>197</v>
      </c>
      <c r="O152">
        <v>844.33</v>
      </c>
      <c r="P152">
        <f t="shared" si="0"/>
        <v>166333.01</v>
      </c>
      <c r="Q152">
        <v>9</v>
      </c>
      <c r="R152">
        <v>15</v>
      </c>
      <c r="S152">
        <f t="shared" si="2"/>
        <v>6</v>
      </c>
      <c r="T152" t="str">
        <f t="shared" si="1"/>
        <v>No</v>
      </c>
      <c r="U152">
        <v>1733</v>
      </c>
      <c r="V152">
        <v>200</v>
      </c>
      <c r="W152">
        <v>240</v>
      </c>
      <c r="X152">
        <v>4</v>
      </c>
      <c r="Y152">
        <v>6</v>
      </c>
      <c r="Z152">
        <v>578.03</v>
      </c>
      <c r="AA152">
        <v>4486</v>
      </c>
      <c r="AB152">
        <v>0.88</v>
      </c>
    </row>
    <row r="153" spans="1:28" x14ac:dyDescent="0.3">
      <c r="A153" t="s">
        <v>323</v>
      </c>
      <c r="B153">
        <v>45248</v>
      </c>
      <c r="C153" t="s">
        <v>223</v>
      </c>
      <c r="D153" t="s">
        <v>224</v>
      </c>
      <c r="E153" t="s">
        <v>32</v>
      </c>
      <c r="F153" t="s">
        <v>117</v>
      </c>
      <c r="G153" t="s">
        <v>155</v>
      </c>
      <c r="H153" t="s">
        <v>156</v>
      </c>
      <c r="I153" t="s">
        <v>58</v>
      </c>
      <c r="J153" t="s">
        <v>92</v>
      </c>
      <c r="K153" t="s">
        <v>49</v>
      </c>
      <c r="L153" t="s">
        <v>50</v>
      </c>
      <c r="M153" t="s">
        <v>51</v>
      </c>
      <c r="N153">
        <v>524</v>
      </c>
      <c r="O153">
        <v>1355.82</v>
      </c>
      <c r="P153">
        <f t="shared" si="0"/>
        <v>710449.67999999993</v>
      </c>
      <c r="Q153">
        <v>21</v>
      </c>
      <c r="R153">
        <v>18</v>
      </c>
      <c r="S153">
        <f t="shared" si="2"/>
        <v>0</v>
      </c>
      <c r="T153" t="str">
        <f t="shared" si="1"/>
        <v>Yes</v>
      </c>
      <c r="U153">
        <v>2100</v>
      </c>
      <c r="V153">
        <v>207</v>
      </c>
      <c r="W153">
        <v>192</v>
      </c>
      <c r="X153">
        <v>5</v>
      </c>
      <c r="Y153">
        <v>8</v>
      </c>
      <c r="Z153">
        <v>974.84</v>
      </c>
      <c r="AA153">
        <v>6031</v>
      </c>
      <c r="AB153">
        <v>0.94</v>
      </c>
    </row>
    <row r="154" spans="1:28" x14ac:dyDescent="0.3">
      <c r="A154" t="s">
        <v>324</v>
      </c>
      <c r="B154">
        <v>45252</v>
      </c>
      <c r="C154" t="s">
        <v>42</v>
      </c>
      <c r="D154" t="s">
        <v>43</v>
      </c>
      <c r="E154" t="s">
        <v>32</v>
      </c>
      <c r="F154" t="s">
        <v>33</v>
      </c>
      <c r="G154" t="s">
        <v>192</v>
      </c>
      <c r="H154" t="s">
        <v>193</v>
      </c>
      <c r="I154" t="s">
        <v>47</v>
      </c>
      <c r="J154" t="s">
        <v>79</v>
      </c>
      <c r="K154" t="s">
        <v>93</v>
      </c>
      <c r="L154" t="s">
        <v>94</v>
      </c>
      <c r="M154" t="s">
        <v>95</v>
      </c>
      <c r="N154">
        <v>980</v>
      </c>
      <c r="O154">
        <v>677.24</v>
      </c>
      <c r="P154">
        <f t="shared" si="0"/>
        <v>663695.19999999995</v>
      </c>
      <c r="Q154">
        <v>9</v>
      </c>
      <c r="R154">
        <v>12</v>
      </c>
      <c r="S154">
        <f t="shared" si="2"/>
        <v>3</v>
      </c>
      <c r="T154" t="str">
        <f t="shared" si="1"/>
        <v>No</v>
      </c>
      <c r="U154">
        <v>2036</v>
      </c>
      <c r="V154">
        <v>931</v>
      </c>
      <c r="W154">
        <v>859</v>
      </c>
      <c r="X154">
        <v>3.5</v>
      </c>
      <c r="Y154">
        <v>5</v>
      </c>
      <c r="Z154">
        <v>411.49</v>
      </c>
      <c r="AA154">
        <v>960</v>
      </c>
      <c r="AB154">
        <v>0.77</v>
      </c>
    </row>
    <row r="155" spans="1:28" x14ac:dyDescent="0.3">
      <c r="A155" t="s">
        <v>325</v>
      </c>
      <c r="B155">
        <v>45253</v>
      </c>
      <c r="C155" t="s">
        <v>42</v>
      </c>
      <c r="D155" t="s">
        <v>43</v>
      </c>
      <c r="E155" t="s">
        <v>32</v>
      </c>
      <c r="F155" t="s">
        <v>102</v>
      </c>
      <c r="G155" t="s">
        <v>254</v>
      </c>
      <c r="H155" t="s">
        <v>255</v>
      </c>
      <c r="I155" t="s">
        <v>58</v>
      </c>
      <c r="J155" t="s">
        <v>59</v>
      </c>
      <c r="K155" t="s">
        <v>93</v>
      </c>
      <c r="L155" t="s">
        <v>94</v>
      </c>
      <c r="M155" t="s">
        <v>95</v>
      </c>
      <c r="N155">
        <v>537</v>
      </c>
      <c r="O155">
        <v>676.27</v>
      </c>
      <c r="P155">
        <f t="shared" si="0"/>
        <v>363156.99</v>
      </c>
      <c r="Q155">
        <v>15</v>
      </c>
      <c r="R155">
        <v>19</v>
      </c>
      <c r="S155">
        <f t="shared" si="2"/>
        <v>4</v>
      </c>
      <c r="T155" t="str">
        <f t="shared" si="1"/>
        <v>No</v>
      </c>
      <c r="U155">
        <v>521</v>
      </c>
      <c r="V155">
        <v>333</v>
      </c>
      <c r="W155">
        <v>324</v>
      </c>
      <c r="X155">
        <v>3.5</v>
      </c>
      <c r="Y155">
        <v>5</v>
      </c>
      <c r="Z155">
        <v>418.86</v>
      </c>
      <c r="AA155">
        <v>2877</v>
      </c>
      <c r="AB155">
        <v>0.96</v>
      </c>
    </row>
    <row r="156" spans="1:28" x14ac:dyDescent="0.3">
      <c r="A156" t="s">
        <v>326</v>
      </c>
      <c r="B156">
        <v>45253</v>
      </c>
      <c r="C156" t="s">
        <v>210</v>
      </c>
      <c r="D156" t="s">
        <v>211</v>
      </c>
      <c r="E156" t="s">
        <v>66</v>
      </c>
      <c r="F156" t="s">
        <v>117</v>
      </c>
      <c r="G156" t="s">
        <v>164</v>
      </c>
      <c r="H156" t="s">
        <v>165</v>
      </c>
      <c r="I156" t="s">
        <v>47</v>
      </c>
      <c r="J156" t="s">
        <v>48</v>
      </c>
      <c r="K156" t="s">
        <v>49</v>
      </c>
      <c r="L156" t="s">
        <v>50</v>
      </c>
      <c r="M156" t="s">
        <v>51</v>
      </c>
      <c r="N156">
        <v>184</v>
      </c>
      <c r="O156">
        <v>31.42</v>
      </c>
      <c r="P156">
        <f t="shared" si="0"/>
        <v>5781.2800000000007</v>
      </c>
      <c r="Q156">
        <v>10</v>
      </c>
      <c r="R156">
        <v>14</v>
      </c>
      <c r="S156">
        <f t="shared" si="2"/>
        <v>4</v>
      </c>
      <c r="T156" t="str">
        <f t="shared" si="1"/>
        <v>No</v>
      </c>
      <c r="U156">
        <v>401</v>
      </c>
      <c r="V156">
        <v>129</v>
      </c>
      <c r="W156">
        <v>192</v>
      </c>
      <c r="X156">
        <v>1.2</v>
      </c>
      <c r="Y156">
        <v>2</v>
      </c>
      <c r="Z156">
        <v>24.46</v>
      </c>
      <c r="AA156">
        <v>6271</v>
      </c>
      <c r="AB156">
        <v>0.71</v>
      </c>
    </row>
    <row r="157" spans="1:28" x14ac:dyDescent="0.3">
      <c r="A157" t="s">
        <v>327</v>
      </c>
      <c r="B157">
        <v>45255</v>
      </c>
      <c r="C157" t="s">
        <v>144</v>
      </c>
      <c r="D157" t="s">
        <v>145</v>
      </c>
      <c r="E157" t="s">
        <v>76</v>
      </c>
      <c r="F157" t="s">
        <v>55</v>
      </c>
      <c r="G157" t="s">
        <v>206</v>
      </c>
      <c r="H157" t="s">
        <v>207</v>
      </c>
      <c r="I157" t="s">
        <v>126</v>
      </c>
      <c r="J157" t="s">
        <v>127</v>
      </c>
      <c r="K157" t="s">
        <v>80</v>
      </c>
      <c r="L157" t="s">
        <v>81</v>
      </c>
      <c r="M157" t="s">
        <v>40</v>
      </c>
      <c r="N157">
        <v>191</v>
      </c>
      <c r="O157">
        <v>205.41</v>
      </c>
      <c r="P157">
        <f t="shared" si="0"/>
        <v>39233.31</v>
      </c>
      <c r="Q157">
        <v>15</v>
      </c>
      <c r="R157">
        <v>23</v>
      </c>
      <c r="S157">
        <f t="shared" si="2"/>
        <v>8</v>
      </c>
      <c r="T157" t="str">
        <f t="shared" si="1"/>
        <v>No</v>
      </c>
      <c r="U157">
        <v>2031</v>
      </c>
      <c r="V157">
        <v>279</v>
      </c>
      <c r="W157">
        <v>375</v>
      </c>
      <c r="X157">
        <v>2.5</v>
      </c>
      <c r="Y157">
        <v>4</v>
      </c>
      <c r="Z157">
        <v>136.63</v>
      </c>
      <c r="AA157">
        <v>2796</v>
      </c>
      <c r="AB157">
        <v>0.93</v>
      </c>
    </row>
    <row r="158" spans="1:28" x14ac:dyDescent="0.3">
      <c r="A158" t="s">
        <v>328</v>
      </c>
      <c r="B158">
        <v>45259</v>
      </c>
      <c r="C158" t="s">
        <v>122</v>
      </c>
      <c r="D158" t="s">
        <v>123</v>
      </c>
      <c r="E158" t="s">
        <v>89</v>
      </c>
      <c r="F158" t="s">
        <v>102</v>
      </c>
      <c r="G158" t="s">
        <v>225</v>
      </c>
      <c r="H158" t="s">
        <v>226</v>
      </c>
      <c r="I158" t="s">
        <v>36</v>
      </c>
      <c r="J158" t="s">
        <v>37</v>
      </c>
      <c r="K158" t="s">
        <v>93</v>
      </c>
      <c r="L158" t="s">
        <v>94</v>
      </c>
      <c r="M158" t="s">
        <v>95</v>
      </c>
      <c r="N158">
        <v>826</v>
      </c>
      <c r="O158">
        <v>2025.64</v>
      </c>
      <c r="P158">
        <f t="shared" si="0"/>
        <v>1673178.6400000001</v>
      </c>
      <c r="Q158">
        <v>13</v>
      </c>
      <c r="R158">
        <v>17</v>
      </c>
      <c r="S158">
        <f t="shared" si="2"/>
        <v>4</v>
      </c>
      <c r="T158" t="str">
        <f t="shared" si="1"/>
        <v>No</v>
      </c>
      <c r="U158">
        <v>2296</v>
      </c>
      <c r="V158">
        <v>257</v>
      </c>
      <c r="W158">
        <v>376</v>
      </c>
      <c r="X158">
        <v>8</v>
      </c>
      <c r="Y158">
        <v>12</v>
      </c>
      <c r="Z158">
        <v>1250.07</v>
      </c>
      <c r="AA158">
        <v>6398</v>
      </c>
      <c r="AB158">
        <v>0.81</v>
      </c>
    </row>
    <row r="159" spans="1:28" x14ac:dyDescent="0.3">
      <c r="A159" t="s">
        <v>329</v>
      </c>
      <c r="B159">
        <v>45263</v>
      </c>
      <c r="C159" t="s">
        <v>74</v>
      </c>
      <c r="D159" t="s">
        <v>75</v>
      </c>
      <c r="E159" t="s">
        <v>76</v>
      </c>
      <c r="F159" t="s">
        <v>33</v>
      </c>
      <c r="G159" t="s">
        <v>164</v>
      </c>
      <c r="H159" t="s">
        <v>165</v>
      </c>
      <c r="I159" t="s">
        <v>47</v>
      </c>
      <c r="J159" t="s">
        <v>48</v>
      </c>
      <c r="K159" t="s">
        <v>80</v>
      </c>
      <c r="L159" t="s">
        <v>81</v>
      </c>
      <c r="M159" t="s">
        <v>40</v>
      </c>
      <c r="N159">
        <v>530</v>
      </c>
      <c r="O159">
        <v>316.95</v>
      </c>
      <c r="P159">
        <f t="shared" si="0"/>
        <v>167983.5</v>
      </c>
      <c r="Q159">
        <v>16</v>
      </c>
      <c r="R159">
        <v>16</v>
      </c>
      <c r="S159">
        <f t="shared" si="2"/>
        <v>0</v>
      </c>
      <c r="T159" t="str">
        <f t="shared" si="1"/>
        <v>Yes</v>
      </c>
      <c r="U159">
        <v>897</v>
      </c>
      <c r="V159">
        <v>376</v>
      </c>
      <c r="W159">
        <v>502</v>
      </c>
      <c r="X159">
        <v>2</v>
      </c>
      <c r="Y159">
        <v>4</v>
      </c>
      <c r="Z159">
        <v>202.34</v>
      </c>
      <c r="AA159">
        <v>1626</v>
      </c>
      <c r="AB159">
        <v>0.74</v>
      </c>
    </row>
    <row r="160" spans="1:28" x14ac:dyDescent="0.3">
      <c r="A160" t="s">
        <v>330</v>
      </c>
      <c r="B160">
        <v>45263</v>
      </c>
      <c r="C160" t="s">
        <v>74</v>
      </c>
      <c r="D160" t="s">
        <v>75</v>
      </c>
      <c r="E160" t="s">
        <v>76</v>
      </c>
      <c r="F160" t="s">
        <v>33</v>
      </c>
      <c r="G160" t="s">
        <v>192</v>
      </c>
      <c r="H160" t="s">
        <v>193</v>
      </c>
      <c r="I160" t="s">
        <v>47</v>
      </c>
      <c r="J160" t="s">
        <v>79</v>
      </c>
      <c r="K160" t="s">
        <v>80</v>
      </c>
      <c r="L160" t="s">
        <v>81</v>
      </c>
      <c r="M160" t="s">
        <v>40</v>
      </c>
      <c r="N160">
        <v>889</v>
      </c>
      <c r="O160">
        <v>366.72</v>
      </c>
      <c r="P160">
        <f t="shared" si="0"/>
        <v>326014.08000000002</v>
      </c>
      <c r="Q160">
        <v>9</v>
      </c>
      <c r="R160">
        <v>13</v>
      </c>
      <c r="S160">
        <f t="shared" si="2"/>
        <v>4</v>
      </c>
      <c r="T160" t="str">
        <f t="shared" si="1"/>
        <v>No</v>
      </c>
      <c r="U160">
        <v>734</v>
      </c>
      <c r="V160">
        <v>383</v>
      </c>
      <c r="W160">
        <v>538</v>
      </c>
      <c r="X160">
        <v>2</v>
      </c>
      <c r="Y160">
        <v>4</v>
      </c>
      <c r="Z160">
        <v>229.7</v>
      </c>
      <c r="AA160">
        <v>3434</v>
      </c>
      <c r="AB160">
        <v>0.92</v>
      </c>
    </row>
    <row r="161" spans="1:28" x14ac:dyDescent="0.3">
      <c r="A161" t="s">
        <v>331</v>
      </c>
      <c r="B161">
        <v>45264</v>
      </c>
      <c r="C161" t="s">
        <v>150</v>
      </c>
      <c r="D161" t="s">
        <v>151</v>
      </c>
      <c r="E161" t="s">
        <v>66</v>
      </c>
      <c r="F161" t="s">
        <v>102</v>
      </c>
      <c r="G161" t="s">
        <v>155</v>
      </c>
      <c r="H161" t="s">
        <v>156</v>
      </c>
      <c r="I161" t="s">
        <v>58</v>
      </c>
      <c r="J161" t="s">
        <v>92</v>
      </c>
      <c r="K161" t="s">
        <v>70</v>
      </c>
      <c r="L161" t="s">
        <v>71</v>
      </c>
      <c r="M161" t="s">
        <v>72</v>
      </c>
      <c r="N161">
        <v>521</v>
      </c>
      <c r="O161">
        <v>46.69</v>
      </c>
      <c r="P161">
        <f t="shared" si="0"/>
        <v>24325.489999999998</v>
      </c>
      <c r="Q161">
        <v>26</v>
      </c>
      <c r="R161">
        <v>28</v>
      </c>
      <c r="S161">
        <f t="shared" si="2"/>
        <v>2</v>
      </c>
      <c r="T161" t="str">
        <f t="shared" si="1"/>
        <v>No</v>
      </c>
      <c r="U161">
        <v>2021</v>
      </c>
      <c r="V161">
        <v>760</v>
      </c>
      <c r="W161">
        <v>949</v>
      </c>
      <c r="X161">
        <v>1.5</v>
      </c>
      <c r="Y161">
        <v>2</v>
      </c>
      <c r="Z161">
        <v>32.6</v>
      </c>
      <c r="AA161">
        <v>1878</v>
      </c>
      <c r="AB161">
        <v>0.91</v>
      </c>
    </row>
    <row r="162" spans="1:28" x14ac:dyDescent="0.3">
      <c r="A162" t="s">
        <v>332</v>
      </c>
      <c r="B162">
        <v>45266</v>
      </c>
      <c r="C162" t="s">
        <v>150</v>
      </c>
      <c r="D162" t="s">
        <v>151</v>
      </c>
      <c r="E162" t="s">
        <v>66</v>
      </c>
      <c r="F162" t="s">
        <v>117</v>
      </c>
      <c r="G162" t="s">
        <v>134</v>
      </c>
      <c r="H162" t="s">
        <v>135</v>
      </c>
      <c r="I162" t="s">
        <v>58</v>
      </c>
      <c r="J162" t="s">
        <v>59</v>
      </c>
      <c r="K162" t="s">
        <v>49</v>
      </c>
      <c r="L162" t="s">
        <v>50</v>
      </c>
      <c r="M162" t="s">
        <v>51</v>
      </c>
      <c r="N162">
        <v>952</v>
      </c>
      <c r="O162">
        <v>43.52</v>
      </c>
      <c r="P162">
        <f t="shared" si="0"/>
        <v>41431.040000000001</v>
      </c>
      <c r="Q162">
        <v>16</v>
      </c>
      <c r="R162">
        <v>17</v>
      </c>
      <c r="S162">
        <f t="shared" si="2"/>
        <v>1</v>
      </c>
      <c r="T162" t="str">
        <f t="shared" si="1"/>
        <v>No</v>
      </c>
      <c r="U162">
        <v>1261</v>
      </c>
      <c r="V162">
        <v>640</v>
      </c>
      <c r="W162">
        <v>889</v>
      </c>
      <c r="X162">
        <v>1.5</v>
      </c>
      <c r="Y162">
        <v>2</v>
      </c>
      <c r="Z162">
        <v>33.58</v>
      </c>
      <c r="AA162">
        <v>6110</v>
      </c>
      <c r="AB162">
        <v>0.73</v>
      </c>
    </row>
    <row r="163" spans="1:28" x14ac:dyDescent="0.3">
      <c r="A163" t="s">
        <v>333</v>
      </c>
      <c r="B163">
        <v>45267</v>
      </c>
      <c r="C163" t="s">
        <v>74</v>
      </c>
      <c r="D163" t="s">
        <v>75</v>
      </c>
      <c r="E163" t="s">
        <v>76</v>
      </c>
      <c r="F163" t="s">
        <v>117</v>
      </c>
      <c r="G163" t="s">
        <v>186</v>
      </c>
      <c r="H163" t="s">
        <v>187</v>
      </c>
      <c r="I163" t="s">
        <v>47</v>
      </c>
      <c r="J163" t="s">
        <v>48</v>
      </c>
      <c r="K163" t="s">
        <v>80</v>
      </c>
      <c r="L163" t="s">
        <v>81</v>
      </c>
      <c r="M163" t="s">
        <v>40</v>
      </c>
      <c r="N163">
        <v>843</v>
      </c>
      <c r="O163">
        <v>339.42</v>
      </c>
      <c r="P163">
        <f t="shared" si="0"/>
        <v>286131.06</v>
      </c>
      <c r="Q163">
        <v>29</v>
      </c>
      <c r="R163">
        <v>35</v>
      </c>
      <c r="S163">
        <f t="shared" si="2"/>
        <v>6</v>
      </c>
      <c r="T163" t="str">
        <f t="shared" si="1"/>
        <v>No</v>
      </c>
      <c r="U163">
        <v>2607</v>
      </c>
      <c r="V163">
        <v>437</v>
      </c>
      <c r="W163">
        <v>390</v>
      </c>
      <c r="X163">
        <v>2</v>
      </c>
      <c r="Y163">
        <v>4</v>
      </c>
      <c r="Z163">
        <v>252.26</v>
      </c>
      <c r="AA163">
        <v>4249</v>
      </c>
      <c r="AB163">
        <v>0.71</v>
      </c>
    </row>
    <row r="164" spans="1:28" x14ac:dyDescent="0.3">
      <c r="A164" t="s">
        <v>334</v>
      </c>
      <c r="B164">
        <v>45272</v>
      </c>
      <c r="C164" t="s">
        <v>170</v>
      </c>
      <c r="D164" t="s">
        <v>171</v>
      </c>
      <c r="E164" t="s">
        <v>116</v>
      </c>
      <c r="F164" t="s">
        <v>33</v>
      </c>
      <c r="G164" t="s">
        <v>56</v>
      </c>
      <c r="H164" t="s">
        <v>57</v>
      </c>
      <c r="I164" t="s">
        <v>58</v>
      </c>
      <c r="J164" t="s">
        <v>59</v>
      </c>
      <c r="K164" t="s">
        <v>60</v>
      </c>
      <c r="L164" t="s">
        <v>61</v>
      </c>
      <c r="M164" t="s">
        <v>62</v>
      </c>
      <c r="N164">
        <v>189</v>
      </c>
      <c r="O164">
        <v>1947.57</v>
      </c>
      <c r="P164">
        <f t="shared" si="0"/>
        <v>368090.73</v>
      </c>
      <c r="Q164">
        <v>25</v>
      </c>
      <c r="R164">
        <v>30</v>
      </c>
      <c r="S164">
        <f t="shared" si="2"/>
        <v>5</v>
      </c>
      <c r="T164" t="str">
        <f t="shared" si="1"/>
        <v>No</v>
      </c>
      <c r="U164">
        <v>2130</v>
      </c>
      <c r="V164">
        <v>131</v>
      </c>
      <c r="W164">
        <v>141</v>
      </c>
      <c r="X164">
        <v>7</v>
      </c>
      <c r="Y164">
        <v>10</v>
      </c>
      <c r="Z164">
        <v>1205.69</v>
      </c>
      <c r="AA164">
        <v>1651</v>
      </c>
      <c r="AB164">
        <v>0.83</v>
      </c>
    </row>
    <row r="165" spans="1:28" x14ac:dyDescent="0.3">
      <c r="A165" t="s">
        <v>335</v>
      </c>
      <c r="B165">
        <v>45276</v>
      </c>
      <c r="C165" t="s">
        <v>42</v>
      </c>
      <c r="D165" t="s">
        <v>43</v>
      </c>
      <c r="E165" t="s">
        <v>32</v>
      </c>
      <c r="F165" t="s">
        <v>117</v>
      </c>
      <c r="G165" t="s">
        <v>111</v>
      </c>
      <c r="H165" t="s">
        <v>112</v>
      </c>
      <c r="I165" t="s">
        <v>58</v>
      </c>
      <c r="J165" t="s">
        <v>69</v>
      </c>
      <c r="K165" t="s">
        <v>60</v>
      </c>
      <c r="L165" t="s">
        <v>61</v>
      </c>
      <c r="M165" t="s">
        <v>62</v>
      </c>
      <c r="N165">
        <v>874</v>
      </c>
      <c r="O165">
        <v>658.85</v>
      </c>
      <c r="P165">
        <f t="shared" si="0"/>
        <v>575834.9</v>
      </c>
      <c r="Q165">
        <v>22</v>
      </c>
      <c r="R165">
        <v>31</v>
      </c>
      <c r="S165">
        <f t="shared" si="2"/>
        <v>9</v>
      </c>
      <c r="T165" t="str">
        <f t="shared" si="1"/>
        <v>No</v>
      </c>
      <c r="U165">
        <v>1957</v>
      </c>
      <c r="V165">
        <v>1013</v>
      </c>
      <c r="W165">
        <v>1068</v>
      </c>
      <c r="X165">
        <v>3.5</v>
      </c>
      <c r="Y165">
        <v>5</v>
      </c>
      <c r="Z165">
        <v>454.94</v>
      </c>
      <c r="AA165">
        <v>1298</v>
      </c>
      <c r="AB165">
        <v>0.91</v>
      </c>
    </row>
    <row r="166" spans="1:28" x14ac:dyDescent="0.3">
      <c r="A166" t="s">
        <v>336</v>
      </c>
      <c r="B166">
        <v>45279</v>
      </c>
      <c r="C166" t="s">
        <v>170</v>
      </c>
      <c r="D166" t="s">
        <v>171</v>
      </c>
      <c r="E166" t="s">
        <v>116</v>
      </c>
      <c r="F166" t="s">
        <v>55</v>
      </c>
      <c r="G166" t="s">
        <v>141</v>
      </c>
      <c r="H166" t="s">
        <v>142</v>
      </c>
      <c r="I166" t="s">
        <v>47</v>
      </c>
      <c r="J166" t="s">
        <v>48</v>
      </c>
      <c r="K166" t="s">
        <v>80</v>
      </c>
      <c r="L166" t="s">
        <v>81</v>
      </c>
      <c r="M166" t="s">
        <v>40</v>
      </c>
      <c r="N166">
        <v>525</v>
      </c>
      <c r="O166">
        <v>1937.26</v>
      </c>
      <c r="P166">
        <f t="shared" si="0"/>
        <v>1017061.5</v>
      </c>
      <c r="Q166">
        <v>10</v>
      </c>
      <c r="R166">
        <v>6</v>
      </c>
      <c r="S166">
        <f t="shared" si="2"/>
        <v>0</v>
      </c>
      <c r="T166" t="str">
        <f t="shared" si="1"/>
        <v>Yes</v>
      </c>
      <c r="U166">
        <v>1241</v>
      </c>
      <c r="V166">
        <v>755</v>
      </c>
      <c r="W166">
        <v>844</v>
      </c>
      <c r="X166">
        <v>7</v>
      </c>
      <c r="Y166">
        <v>10</v>
      </c>
      <c r="Z166">
        <v>1363.94</v>
      </c>
      <c r="AA166">
        <v>4793</v>
      </c>
      <c r="AB166">
        <v>0.79</v>
      </c>
    </row>
    <row r="167" spans="1:28" x14ac:dyDescent="0.3">
      <c r="A167" t="s">
        <v>337</v>
      </c>
      <c r="B167">
        <v>45284</v>
      </c>
      <c r="C167" t="s">
        <v>64</v>
      </c>
      <c r="D167" t="s">
        <v>65</v>
      </c>
      <c r="E167" t="s">
        <v>66</v>
      </c>
      <c r="F167" t="s">
        <v>44</v>
      </c>
      <c r="G167" t="s">
        <v>300</v>
      </c>
      <c r="H167" t="s">
        <v>301</v>
      </c>
      <c r="I167" t="s">
        <v>47</v>
      </c>
      <c r="J167" t="s">
        <v>85</v>
      </c>
      <c r="K167" t="s">
        <v>70</v>
      </c>
      <c r="L167" t="s">
        <v>71</v>
      </c>
      <c r="M167" t="s">
        <v>72</v>
      </c>
      <c r="N167">
        <v>597</v>
      </c>
      <c r="O167">
        <v>90.88</v>
      </c>
      <c r="P167">
        <f t="shared" si="0"/>
        <v>54255.360000000001</v>
      </c>
      <c r="Q167">
        <v>17</v>
      </c>
      <c r="R167">
        <v>21</v>
      </c>
      <c r="S167">
        <f t="shared" si="2"/>
        <v>4</v>
      </c>
      <c r="T167" t="str">
        <f t="shared" si="1"/>
        <v>No</v>
      </c>
      <c r="U167">
        <v>619</v>
      </c>
      <c r="V167">
        <v>387</v>
      </c>
      <c r="W167">
        <v>387</v>
      </c>
      <c r="X167">
        <v>2</v>
      </c>
      <c r="Y167">
        <v>3</v>
      </c>
      <c r="Z167">
        <v>67.510000000000005</v>
      </c>
      <c r="AA167">
        <v>3337</v>
      </c>
      <c r="AB167">
        <v>0.96</v>
      </c>
    </row>
    <row r="168" spans="1:28" x14ac:dyDescent="0.3">
      <c r="A168" t="s">
        <v>338</v>
      </c>
      <c r="B168">
        <v>45287</v>
      </c>
      <c r="C168" t="s">
        <v>122</v>
      </c>
      <c r="D168" t="s">
        <v>123</v>
      </c>
      <c r="E168" t="s">
        <v>89</v>
      </c>
      <c r="F168" t="s">
        <v>55</v>
      </c>
      <c r="G168" t="s">
        <v>134</v>
      </c>
      <c r="H168" t="s">
        <v>135</v>
      </c>
      <c r="I168" t="s">
        <v>58</v>
      </c>
      <c r="J168" t="s">
        <v>59</v>
      </c>
      <c r="K168" t="s">
        <v>178</v>
      </c>
      <c r="L168" t="s">
        <v>179</v>
      </c>
      <c r="M168" t="s">
        <v>62</v>
      </c>
      <c r="N168">
        <v>510</v>
      </c>
      <c r="O168">
        <v>1986.63</v>
      </c>
      <c r="P168">
        <f t="shared" si="0"/>
        <v>1013181.3</v>
      </c>
      <c r="Q168">
        <v>22</v>
      </c>
      <c r="R168">
        <v>26</v>
      </c>
      <c r="S168">
        <f t="shared" si="2"/>
        <v>4</v>
      </c>
      <c r="T168" t="str">
        <f t="shared" si="1"/>
        <v>No</v>
      </c>
      <c r="U168">
        <v>158</v>
      </c>
      <c r="V168">
        <v>666</v>
      </c>
      <c r="W168">
        <v>567</v>
      </c>
      <c r="X168">
        <v>8</v>
      </c>
      <c r="Y168">
        <v>12</v>
      </c>
      <c r="Z168">
        <v>1516.99</v>
      </c>
      <c r="AA168">
        <v>897</v>
      </c>
      <c r="AB168">
        <v>0.91</v>
      </c>
    </row>
    <row r="169" spans="1:28" x14ac:dyDescent="0.3">
      <c r="A169" t="s">
        <v>339</v>
      </c>
      <c r="B169">
        <v>45289</v>
      </c>
      <c r="C169" t="s">
        <v>230</v>
      </c>
      <c r="D169" t="s">
        <v>231</v>
      </c>
      <c r="E169" t="s">
        <v>89</v>
      </c>
      <c r="F169" t="s">
        <v>117</v>
      </c>
      <c r="G169" t="s">
        <v>300</v>
      </c>
      <c r="H169" t="s">
        <v>301</v>
      </c>
      <c r="I169" t="s">
        <v>47</v>
      </c>
      <c r="J169" t="s">
        <v>85</v>
      </c>
      <c r="K169" t="s">
        <v>178</v>
      </c>
      <c r="L169" t="s">
        <v>179</v>
      </c>
      <c r="M169" t="s">
        <v>62</v>
      </c>
      <c r="N169">
        <v>329</v>
      </c>
      <c r="O169">
        <v>1481.87</v>
      </c>
      <c r="P169">
        <f t="shared" si="0"/>
        <v>487535.23</v>
      </c>
      <c r="Q169">
        <v>23</v>
      </c>
      <c r="R169">
        <v>26</v>
      </c>
      <c r="S169">
        <f t="shared" si="2"/>
        <v>3</v>
      </c>
      <c r="T169" t="str">
        <f t="shared" si="1"/>
        <v>No</v>
      </c>
      <c r="U169">
        <v>653</v>
      </c>
      <c r="V169">
        <v>357</v>
      </c>
      <c r="W169">
        <v>341</v>
      </c>
      <c r="X169">
        <v>5</v>
      </c>
      <c r="Y169">
        <v>7</v>
      </c>
      <c r="Z169">
        <v>921.19</v>
      </c>
      <c r="AA169">
        <v>7425</v>
      </c>
      <c r="AB169">
        <v>0.86</v>
      </c>
    </row>
    <row r="170" spans="1:28" x14ac:dyDescent="0.3">
      <c r="A170" t="s">
        <v>340</v>
      </c>
      <c r="B170">
        <v>45293</v>
      </c>
      <c r="C170" t="s">
        <v>176</v>
      </c>
      <c r="D170" t="s">
        <v>177</v>
      </c>
      <c r="E170" t="s">
        <v>89</v>
      </c>
      <c r="F170" t="s">
        <v>117</v>
      </c>
      <c r="G170" t="s">
        <v>300</v>
      </c>
      <c r="H170" t="s">
        <v>301</v>
      </c>
      <c r="I170" t="s">
        <v>47</v>
      </c>
      <c r="J170" t="s">
        <v>85</v>
      </c>
      <c r="K170" t="s">
        <v>178</v>
      </c>
      <c r="L170" t="s">
        <v>179</v>
      </c>
      <c r="M170" t="s">
        <v>62</v>
      </c>
      <c r="N170">
        <v>318</v>
      </c>
      <c r="O170">
        <v>4416.8900000000003</v>
      </c>
      <c r="P170">
        <f t="shared" si="0"/>
        <v>1404571.02</v>
      </c>
      <c r="Q170">
        <v>14</v>
      </c>
      <c r="R170">
        <v>19</v>
      </c>
      <c r="S170">
        <f t="shared" si="2"/>
        <v>5</v>
      </c>
      <c r="T170" t="str">
        <f t="shared" si="1"/>
        <v>No</v>
      </c>
      <c r="U170">
        <v>1582</v>
      </c>
      <c r="V170">
        <v>246</v>
      </c>
      <c r="W170">
        <v>310</v>
      </c>
      <c r="X170">
        <v>12</v>
      </c>
      <c r="Y170">
        <v>18</v>
      </c>
      <c r="Z170">
        <v>3068.85</v>
      </c>
      <c r="AA170">
        <v>4870</v>
      </c>
      <c r="AB170">
        <v>0.76</v>
      </c>
    </row>
    <row r="171" spans="1:28" x14ac:dyDescent="0.3">
      <c r="A171" t="s">
        <v>341</v>
      </c>
      <c r="B171">
        <v>45297</v>
      </c>
      <c r="C171" t="s">
        <v>106</v>
      </c>
      <c r="D171" t="s">
        <v>107</v>
      </c>
      <c r="E171" t="s">
        <v>76</v>
      </c>
      <c r="F171" t="s">
        <v>55</v>
      </c>
      <c r="G171" t="s">
        <v>103</v>
      </c>
      <c r="H171" t="s">
        <v>104</v>
      </c>
      <c r="I171" t="s">
        <v>47</v>
      </c>
      <c r="J171" t="s">
        <v>79</v>
      </c>
      <c r="K171" t="s">
        <v>70</v>
      </c>
      <c r="L171" t="s">
        <v>71</v>
      </c>
      <c r="M171" t="s">
        <v>72</v>
      </c>
      <c r="N171">
        <v>761</v>
      </c>
      <c r="O171">
        <v>2266.96</v>
      </c>
      <c r="P171">
        <f t="shared" si="0"/>
        <v>1725156.56</v>
      </c>
      <c r="Q171">
        <v>25</v>
      </c>
      <c r="R171">
        <v>27</v>
      </c>
      <c r="S171">
        <f t="shared" si="2"/>
        <v>2</v>
      </c>
      <c r="T171" t="str">
        <f t="shared" si="1"/>
        <v>No</v>
      </c>
      <c r="U171">
        <v>2542</v>
      </c>
      <c r="V171">
        <v>966</v>
      </c>
      <c r="W171">
        <v>1136</v>
      </c>
      <c r="X171">
        <v>7</v>
      </c>
      <c r="Y171">
        <v>10</v>
      </c>
      <c r="Z171">
        <v>1579.39</v>
      </c>
      <c r="AA171">
        <v>4068</v>
      </c>
      <c r="AB171">
        <v>0.93</v>
      </c>
    </row>
    <row r="172" spans="1:28" x14ac:dyDescent="0.3">
      <c r="A172" t="s">
        <v>342</v>
      </c>
      <c r="B172">
        <v>45297</v>
      </c>
      <c r="C172" t="s">
        <v>53</v>
      </c>
      <c r="D172" t="s">
        <v>54</v>
      </c>
      <c r="E172" t="s">
        <v>32</v>
      </c>
      <c r="F172" t="s">
        <v>102</v>
      </c>
      <c r="G172" t="s">
        <v>240</v>
      </c>
      <c r="H172" t="s">
        <v>241</v>
      </c>
      <c r="I172" t="s">
        <v>126</v>
      </c>
      <c r="J172" t="s">
        <v>127</v>
      </c>
      <c r="K172" t="s">
        <v>97</v>
      </c>
      <c r="L172" t="s">
        <v>98</v>
      </c>
      <c r="M172" t="s">
        <v>51</v>
      </c>
      <c r="N172">
        <v>259</v>
      </c>
      <c r="O172">
        <v>454.01</v>
      </c>
      <c r="P172">
        <f t="shared" si="0"/>
        <v>117588.59</v>
      </c>
      <c r="Q172">
        <v>17</v>
      </c>
      <c r="R172">
        <v>23</v>
      </c>
      <c r="S172">
        <f t="shared" si="2"/>
        <v>6</v>
      </c>
      <c r="T172" t="str">
        <f t="shared" si="1"/>
        <v>No</v>
      </c>
      <c r="U172">
        <v>342</v>
      </c>
      <c r="V172">
        <v>200</v>
      </c>
      <c r="W172">
        <v>203</v>
      </c>
      <c r="X172">
        <v>3</v>
      </c>
      <c r="Y172">
        <v>5</v>
      </c>
      <c r="Z172">
        <v>303.24</v>
      </c>
      <c r="AA172">
        <v>3228</v>
      </c>
      <c r="AB172">
        <v>0.92</v>
      </c>
    </row>
    <row r="173" spans="1:28" x14ac:dyDescent="0.3">
      <c r="A173" t="s">
        <v>343</v>
      </c>
      <c r="B173">
        <v>45302</v>
      </c>
      <c r="C173" t="s">
        <v>64</v>
      </c>
      <c r="D173" t="s">
        <v>65</v>
      </c>
      <c r="E173" t="s">
        <v>66</v>
      </c>
      <c r="F173" t="s">
        <v>117</v>
      </c>
      <c r="G173" t="s">
        <v>45</v>
      </c>
      <c r="H173" t="s">
        <v>46</v>
      </c>
      <c r="I173" t="s">
        <v>47</v>
      </c>
      <c r="J173" t="s">
        <v>48</v>
      </c>
      <c r="K173" t="s">
        <v>49</v>
      </c>
      <c r="L173" t="s">
        <v>50</v>
      </c>
      <c r="M173" t="s">
        <v>51</v>
      </c>
      <c r="N173">
        <v>569</v>
      </c>
      <c r="O173">
        <v>81.14</v>
      </c>
      <c r="P173">
        <f t="shared" si="0"/>
        <v>46168.66</v>
      </c>
      <c r="Q173">
        <v>18</v>
      </c>
      <c r="R173">
        <v>17</v>
      </c>
      <c r="S173">
        <f t="shared" si="2"/>
        <v>0</v>
      </c>
      <c r="T173" t="str">
        <f t="shared" si="1"/>
        <v>Yes</v>
      </c>
      <c r="U173">
        <v>2697</v>
      </c>
      <c r="V173">
        <v>683</v>
      </c>
      <c r="W173">
        <v>688</v>
      </c>
      <c r="X173">
        <v>2</v>
      </c>
      <c r="Y173">
        <v>3</v>
      </c>
      <c r="Z173">
        <v>64.900000000000006</v>
      </c>
      <c r="AA173">
        <v>4184</v>
      </c>
      <c r="AB173">
        <v>0.77</v>
      </c>
    </row>
    <row r="174" spans="1:28" x14ac:dyDescent="0.3">
      <c r="A174" t="s">
        <v>344</v>
      </c>
      <c r="B174">
        <v>45306</v>
      </c>
      <c r="C174" t="s">
        <v>114</v>
      </c>
      <c r="D174" t="s">
        <v>115</v>
      </c>
      <c r="E174" t="s">
        <v>116</v>
      </c>
      <c r="F174" t="s">
        <v>102</v>
      </c>
      <c r="G174" t="s">
        <v>218</v>
      </c>
      <c r="H174" t="s">
        <v>219</v>
      </c>
      <c r="I174" t="s">
        <v>58</v>
      </c>
      <c r="J174" t="s">
        <v>59</v>
      </c>
      <c r="K174" t="s">
        <v>38</v>
      </c>
      <c r="L174" t="s">
        <v>39</v>
      </c>
      <c r="M174" t="s">
        <v>40</v>
      </c>
      <c r="N174">
        <v>894</v>
      </c>
      <c r="O174">
        <v>3057.02</v>
      </c>
      <c r="P174">
        <f t="shared" si="0"/>
        <v>2732975.88</v>
      </c>
      <c r="Q174">
        <v>9</v>
      </c>
      <c r="R174">
        <v>7</v>
      </c>
      <c r="S174">
        <f t="shared" si="2"/>
        <v>0</v>
      </c>
      <c r="T174" t="str">
        <f t="shared" si="1"/>
        <v>Yes</v>
      </c>
      <c r="U174">
        <v>1088</v>
      </c>
      <c r="V174">
        <v>861</v>
      </c>
      <c r="W174">
        <v>1040</v>
      </c>
      <c r="X174">
        <v>11</v>
      </c>
      <c r="Y174">
        <v>15</v>
      </c>
      <c r="Z174">
        <v>2274.4299999999998</v>
      </c>
      <c r="AA174">
        <v>2918</v>
      </c>
      <c r="AB174">
        <v>0.74</v>
      </c>
    </row>
    <row r="175" spans="1:28" x14ac:dyDescent="0.3">
      <c r="A175" t="s">
        <v>345</v>
      </c>
      <c r="B175">
        <v>45307</v>
      </c>
      <c r="C175" t="s">
        <v>100</v>
      </c>
      <c r="D175" t="s">
        <v>101</v>
      </c>
      <c r="E175" t="s">
        <v>76</v>
      </c>
      <c r="F175" t="s">
        <v>55</v>
      </c>
      <c r="G175" t="s">
        <v>206</v>
      </c>
      <c r="H175" t="s">
        <v>207</v>
      </c>
      <c r="I175" t="s">
        <v>126</v>
      </c>
      <c r="J175" t="s">
        <v>127</v>
      </c>
      <c r="K175" t="s">
        <v>70</v>
      </c>
      <c r="L175" t="s">
        <v>71</v>
      </c>
      <c r="M175" t="s">
        <v>72</v>
      </c>
      <c r="N175">
        <v>644</v>
      </c>
      <c r="O175">
        <v>952.9</v>
      </c>
      <c r="P175">
        <f t="shared" si="0"/>
        <v>613667.6</v>
      </c>
      <c r="Q175">
        <v>22</v>
      </c>
      <c r="R175">
        <v>25</v>
      </c>
      <c r="S175">
        <f t="shared" si="2"/>
        <v>3</v>
      </c>
      <c r="T175" t="str">
        <f t="shared" si="1"/>
        <v>No</v>
      </c>
      <c r="U175">
        <v>2518</v>
      </c>
      <c r="V175">
        <v>364</v>
      </c>
      <c r="W175">
        <v>307</v>
      </c>
      <c r="X175">
        <v>4</v>
      </c>
      <c r="Y175">
        <v>6</v>
      </c>
      <c r="Z175">
        <v>728.75</v>
      </c>
      <c r="AA175">
        <v>7949</v>
      </c>
      <c r="AB175">
        <v>0.9</v>
      </c>
    </row>
    <row r="176" spans="1:28" x14ac:dyDescent="0.3">
      <c r="A176" t="s">
        <v>346</v>
      </c>
      <c r="B176">
        <v>45310</v>
      </c>
      <c r="C176" t="s">
        <v>176</v>
      </c>
      <c r="D176" t="s">
        <v>177</v>
      </c>
      <c r="E176" t="s">
        <v>89</v>
      </c>
      <c r="F176" t="s">
        <v>33</v>
      </c>
      <c r="G176" t="s">
        <v>167</v>
      </c>
      <c r="H176" t="s">
        <v>168</v>
      </c>
      <c r="I176" t="s">
        <v>47</v>
      </c>
      <c r="J176" t="s">
        <v>48</v>
      </c>
      <c r="K176" t="s">
        <v>93</v>
      </c>
      <c r="L176" t="s">
        <v>94</v>
      </c>
      <c r="M176" t="s">
        <v>95</v>
      </c>
      <c r="N176">
        <v>54</v>
      </c>
      <c r="O176">
        <v>4091.26</v>
      </c>
      <c r="P176">
        <f t="shared" si="0"/>
        <v>220928.04</v>
      </c>
      <c r="Q176">
        <v>25</v>
      </c>
      <c r="R176">
        <v>26</v>
      </c>
      <c r="S176">
        <f t="shared" si="2"/>
        <v>1</v>
      </c>
      <c r="T176" t="str">
        <f t="shared" si="1"/>
        <v>No</v>
      </c>
      <c r="U176">
        <v>1332</v>
      </c>
      <c r="V176">
        <v>49</v>
      </c>
      <c r="W176">
        <v>71</v>
      </c>
      <c r="X176">
        <v>12</v>
      </c>
      <c r="Y176">
        <v>18</v>
      </c>
      <c r="Z176">
        <v>2591.7199999999998</v>
      </c>
      <c r="AA176">
        <v>6835</v>
      </c>
      <c r="AB176">
        <v>0.85</v>
      </c>
    </row>
    <row r="177" spans="1:28" x14ac:dyDescent="0.3">
      <c r="A177" t="s">
        <v>347</v>
      </c>
      <c r="B177">
        <v>45310</v>
      </c>
      <c r="C177" t="s">
        <v>64</v>
      </c>
      <c r="D177" t="s">
        <v>65</v>
      </c>
      <c r="E177" t="s">
        <v>66</v>
      </c>
      <c r="F177" t="s">
        <v>33</v>
      </c>
      <c r="G177" t="s">
        <v>181</v>
      </c>
      <c r="H177" t="s">
        <v>182</v>
      </c>
      <c r="I177" t="s">
        <v>126</v>
      </c>
      <c r="J177" t="s">
        <v>127</v>
      </c>
      <c r="K177" t="s">
        <v>49</v>
      </c>
      <c r="L177" t="s">
        <v>50</v>
      </c>
      <c r="M177" t="s">
        <v>51</v>
      </c>
      <c r="N177">
        <v>315</v>
      </c>
      <c r="O177">
        <v>91.04</v>
      </c>
      <c r="P177">
        <f t="shared" si="0"/>
        <v>28677.600000000002</v>
      </c>
      <c r="Q177">
        <v>20</v>
      </c>
      <c r="R177">
        <v>19</v>
      </c>
      <c r="S177">
        <f t="shared" si="2"/>
        <v>0</v>
      </c>
      <c r="T177" t="str">
        <f t="shared" si="1"/>
        <v>Yes</v>
      </c>
      <c r="U177">
        <v>1397</v>
      </c>
      <c r="V177">
        <v>468</v>
      </c>
      <c r="W177">
        <v>584</v>
      </c>
      <c r="X177">
        <v>2</v>
      </c>
      <c r="Y177">
        <v>3</v>
      </c>
      <c r="Z177">
        <v>70.31</v>
      </c>
      <c r="AA177">
        <v>2639</v>
      </c>
      <c r="AB177">
        <v>0.88</v>
      </c>
    </row>
    <row r="178" spans="1:28" x14ac:dyDescent="0.3">
      <c r="A178" t="s">
        <v>348</v>
      </c>
      <c r="B178">
        <v>45314</v>
      </c>
      <c r="C178" t="s">
        <v>42</v>
      </c>
      <c r="D178" t="s">
        <v>43</v>
      </c>
      <c r="E178" t="s">
        <v>32</v>
      </c>
      <c r="F178" t="s">
        <v>33</v>
      </c>
      <c r="G178" t="s">
        <v>34</v>
      </c>
      <c r="H178" t="s">
        <v>35</v>
      </c>
      <c r="I178" t="s">
        <v>36</v>
      </c>
      <c r="J178" t="s">
        <v>37</v>
      </c>
      <c r="K178" t="s">
        <v>97</v>
      </c>
      <c r="L178" t="s">
        <v>98</v>
      </c>
      <c r="M178" t="s">
        <v>51</v>
      </c>
      <c r="N178">
        <v>858</v>
      </c>
      <c r="O178">
        <v>662.92</v>
      </c>
      <c r="P178">
        <f t="shared" si="0"/>
        <v>568785.36</v>
      </c>
      <c r="Q178">
        <v>23</v>
      </c>
      <c r="R178">
        <v>31</v>
      </c>
      <c r="S178">
        <f t="shared" si="2"/>
        <v>8</v>
      </c>
      <c r="T178" t="str">
        <f t="shared" si="1"/>
        <v>No</v>
      </c>
      <c r="U178">
        <v>2834</v>
      </c>
      <c r="V178">
        <v>489</v>
      </c>
      <c r="W178">
        <v>545</v>
      </c>
      <c r="X178">
        <v>3.5</v>
      </c>
      <c r="Y178">
        <v>5</v>
      </c>
      <c r="Z178">
        <v>503.71</v>
      </c>
      <c r="AA178">
        <v>773</v>
      </c>
      <c r="AB178">
        <v>0.78</v>
      </c>
    </row>
    <row r="179" spans="1:28" x14ac:dyDescent="0.3">
      <c r="A179" t="s">
        <v>349</v>
      </c>
      <c r="B179">
        <v>45326</v>
      </c>
      <c r="C179" t="s">
        <v>195</v>
      </c>
      <c r="D179" t="s">
        <v>196</v>
      </c>
      <c r="E179" t="s">
        <v>116</v>
      </c>
      <c r="F179" t="s">
        <v>117</v>
      </c>
      <c r="G179" t="s">
        <v>129</v>
      </c>
      <c r="H179" t="s">
        <v>130</v>
      </c>
      <c r="I179" t="s">
        <v>47</v>
      </c>
      <c r="J179" t="s">
        <v>79</v>
      </c>
      <c r="K179" t="s">
        <v>80</v>
      </c>
      <c r="L179" t="s">
        <v>81</v>
      </c>
      <c r="M179" t="s">
        <v>40</v>
      </c>
      <c r="N179">
        <v>392</v>
      </c>
      <c r="O179">
        <v>915.24</v>
      </c>
      <c r="P179">
        <f t="shared" si="0"/>
        <v>358774.08</v>
      </c>
      <c r="Q179">
        <v>5</v>
      </c>
      <c r="R179">
        <v>8</v>
      </c>
      <c r="S179">
        <f t="shared" si="2"/>
        <v>3</v>
      </c>
      <c r="T179" t="str">
        <f t="shared" si="1"/>
        <v>No</v>
      </c>
      <c r="U179">
        <v>296</v>
      </c>
      <c r="V179">
        <v>279</v>
      </c>
      <c r="W179">
        <v>366</v>
      </c>
      <c r="X179">
        <v>4</v>
      </c>
      <c r="Y179">
        <v>6</v>
      </c>
      <c r="Z179">
        <v>664.15</v>
      </c>
      <c r="AA179">
        <v>6820</v>
      </c>
      <c r="AB179">
        <v>0.86</v>
      </c>
    </row>
    <row r="180" spans="1:28" x14ac:dyDescent="0.3">
      <c r="A180" t="s">
        <v>350</v>
      </c>
      <c r="B180">
        <v>45327</v>
      </c>
      <c r="C180" t="s">
        <v>64</v>
      </c>
      <c r="D180" t="s">
        <v>65</v>
      </c>
      <c r="E180" t="s">
        <v>66</v>
      </c>
      <c r="F180" t="s">
        <v>44</v>
      </c>
      <c r="G180" t="s">
        <v>129</v>
      </c>
      <c r="H180" t="s">
        <v>130</v>
      </c>
      <c r="I180" t="s">
        <v>47</v>
      </c>
      <c r="J180" t="s">
        <v>79</v>
      </c>
      <c r="K180" t="s">
        <v>70</v>
      </c>
      <c r="L180" t="s">
        <v>71</v>
      </c>
      <c r="M180" t="s">
        <v>72</v>
      </c>
      <c r="N180">
        <v>315</v>
      </c>
      <c r="O180">
        <v>90.89</v>
      </c>
      <c r="P180">
        <f t="shared" si="0"/>
        <v>28630.35</v>
      </c>
      <c r="Q180">
        <v>30</v>
      </c>
      <c r="R180">
        <v>38</v>
      </c>
      <c r="S180">
        <f t="shared" si="2"/>
        <v>8</v>
      </c>
      <c r="T180" t="str">
        <f t="shared" si="1"/>
        <v>No</v>
      </c>
      <c r="U180">
        <v>1548</v>
      </c>
      <c r="V180">
        <v>456</v>
      </c>
      <c r="W180">
        <v>368</v>
      </c>
      <c r="X180">
        <v>2</v>
      </c>
      <c r="Y180">
        <v>3</v>
      </c>
      <c r="Z180">
        <v>70.44</v>
      </c>
      <c r="AA180">
        <v>1658</v>
      </c>
      <c r="AB180">
        <v>0.73</v>
      </c>
    </row>
    <row r="181" spans="1:28" x14ac:dyDescent="0.3">
      <c r="A181" t="s">
        <v>351</v>
      </c>
      <c r="B181">
        <v>45329</v>
      </c>
      <c r="C181" t="s">
        <v>42</v>
      </c>
      <c r="D181" t="s">
        <v>43</v>
      </c>
      <c r="E181" t="s">
        <v>32</v>
      </c>
      <c r="F181" t="s">
        <v>117</v>
      </c>
      <c r="G181" t="s">
        <v>67</v>
      </c>
      <c r="H181" t="s">
        <v>68</v>
      </c>
      <c r="I181" t="s">
        <v>58</v>
      </c>
      <c r="J181" t="s">
        <v>69</v>
      </c>
      <c r="K181" t="s">
        <v>38</v>
      </c>
      <c r="L181" t="s">
        <v>39</v>
      </c>
      <c r="M181" t="s">
        <v>40</v>
      </c>
      <c r="N181">
        <v>214</v>
      </c>
      <c r="O181">
        <v>681.24</v>
      </c>
      <c r="P181">
        <f t="shared" si="0"/>
        <v>145785.36000000002</v>
      </c>
      <c r="Q181">
        <v>22</v>
      </c>
      <c r="R181">
        <v>22</v>
      </c>
      <c r="S181">
        <f t="shared" si="2"/>
        <v>0</v>
      </c>
      <c r="T181" t="str">
        <f t="shared" si="1"/>
        <v>Yes</v>
      </c>
      <c r="U181">
        <v>2812</v>
      </c>
      <c r="V181">
        <v>261</v>
      </c>
      <c r="W181">
        <v>213</v>
      </c>
      <c r="X181">
        <v>3.5</v>
      </c>
      <c r="Y181">
        <v>5</v>
      </c>
      <c r="Z181">
        <v>507.82</v>
      </c>
      <c r="AA181">
        <v>6302</v>
      </c>
      <c r="AB181">
        <v>0.76</v>
      </c>
    </row>
    <row r="182" spans="1:28" x14ac:dyDescent="0.3">
      <c r="A182" t="s">
        <v>352</v>
      </c>
      <c r="B182">
        <v>45331</v>
      </c>
      <c r="C182" t="s">
        <v>195</v>
      </c>
      <c r="D182" t="s">
        <v>196</v>
      </c>
      <c r="E182" t="s">
        <v>116</v>
      </c>
      <c r="F182" t="s">
        <v>117</v>
      </c>
      <c r="G182" t="s">
        <v>34</v>
      </c>
      <c r="H182" t="s">
        <v>35</v>
      </c>
      <c r="I182" t="s">
        <v>36</v>
      </c>
      <c r="J182" t="s">
        <v>37</v>
      </c>
      <c r="K182" t="s">
        <v>38</v>
      </c>
      <c r="L182" t="s">
        <v>39</v>
      </c>
      <c r="M182" t="s">
        <v>40</v>
      </c>
      <c r="N182">
        <v>446</v>
      </c>
      <c r="O182">
        <v>896.04</v>
      </c>
      <c r="P182">
        <f t="shared" si="0"/>
        <v>399633.83999999997</v>
      </c>
      <c r="Q182">
        <v>11</v>
      </c>
      <c r="R182">
        <v>11</v>
      </c>
      <c r="S182">
        <f t="shared" si="2"/>
        <v>0</v>
      </c>
      <c r="T182" t="str">
        <f t="shared" si="1"/>
        <v>Yes</v>
      </c>
      <c r="U182">
        <v>1146</v>
      </c>
      <c r="V182">
        <v>283</v>
      </c>
      <c r="W182">
        <v>401</v>
      </c>
      <c r="X182">
        <v>4</v>
      </c>
      <c r="Y182">
        <v>6</v>
      </c>
      <c r="Z182">
        <v>543.83000000000004</v>
      </c>
      <c r="AA182">
        <v>5572</v>
      </c>
      <c r="AB182">
        <v>0.87</v>
      </c>
    </row>
    <row r="183" spans="1:28" x14ac:dyDescent="0.3">
      <c r="A183" t="s">
        <v>353</v>
      </c>
      <c r="B183">
        <v>45332</v>
      </c>
      <c r="C183" t="s">
        <v>176</v>
      </c>
      <c r="D183" t="s">
        <v>177</v>
      </c>
      <c r="E183" t="s">
        <v>89</v>
      </c>
      <c r="F183" t="s">
        <v>117</v>
      </c>
      <c r="G183" t="s">
        <v>56</v>
      </c>
      <c r="H183" t="s">
        <v>57</v>
      </c>
      <c r="I183" t="s">
        <v>58</v>
      </c>
      <c r="J183" t="s">
        <v>59</v>
      </c>
      <c r="K183" t="s">
        <v>93</v>
      </c>
      <c r="L183" t="s">
        <v>94</v>
      </c>
      <c r="M183" t="s">
        <v>95</v>
      </c>
      <c r="N183">
        <v>276</v>
      </c>
      <c r="O183">
        <v>4641.09</v>
      </c>
      <c r="P183">
        <f t="shared" si="0"/>
        <v>1280940.8400000001</v>
      </c>
      <c r="Q183">
        <v>10</v>
      </c>
      <c r="R183">
        <v>8</v>
      </c>
      <c r="S183">
        <f t="shared" si="2"/>
        <v>0</v>
      </c>
      <c r="T183" t="str">
        <f t="shared" si="1"/>
        <v>Yes</v>
      </c>
      <c r="U183">
        <v>1676</v>
      </c>
      <c r="V183">
        <v>365</v>
      </c>
      <c r="W183">
        <v>434</v>
      </c>
      <c r="X183">
        <v>12</v>
      </c>
      <c r="Y183">
        <v>18</v>
      </c>
      <c r="Z183">
        <v>3295.29</v>
      </c>
      <c r="AA183">
        <v>1275</v>
      </c>
      <c r="AB183">
        <v>0.83</v>
      </c>
    </row>
    <row r="184" spans="1:28" x14ac:dyDescent="0.3">
      <c r="A184" t="s">
        <v>354</v>
      </c>
      <c r="B184">
        <v>45334</v>
      </c>
      <c r="C184" t="s">
        <v>176</v>
      </c>
      <c r="D184" t="s">
        <v>177</v>
      </c>
      <c r="E184" t="s">
        <v>89</v>
      </c>
      <c r="F184" t="s">
        <v>44</v>
      </c>
      <c r="G184" t="s">
        <v>129</v>
      </c>
      <c r="H184" t="s">
        <v>130</v>
      </c>
      <c r="I184" t="s">
        <v>47</v>
      </c>
      <c r="J184" t="s">
        <v>79</v>
      </c>
      <c r="K184" t="s">
        <v>178</v>
      </c>
      <c r="L184" t="s">
        <v>179</v>
      </c>
      <c r="M184" t="s">
        <v>62</v>
      </c>
      <c r="N184">
        <v>523</v>
      </c>
      <c r="O184">
        <v>4585.47</v>
      </c>
      <c r="P184">
        <f t="shared" si="0"/>
        <v>2398200.81</v>
      </c>
      <c r="Q184">
        <v>18</v>
      </c>
      <c r="R184">
        <v>22</v>
      </c>
      <c r="S184">
        <f t="shared" si="2"/>
        <v>4</v>
      </c>
      <c r="T184" t="str">
        <f t="shared" si="1"/>
        <v>No</v>
      </c>
      <c r="U184">
        <v>357</v>
      </c>
      <c r="V184">
        <v>558</v>
      </c>
      <c r="W184">
        <v>656</v>
      </c>
      <c r="X184">
        <v>12</v>
      </c>
      <c r="Y184">
        <v>18</v>
      </c>
      <c r="Z184">
        <v>2891.3</v>
      </c>
      <c r="AA184">
        <v>1184</v>
      </c>
      <c r="AB184">
        <v>0.79</v>
      </c>
    </row>
    <row r="185" spans="1:28" x14ac:dyDescent="0.3">
      <c r="A185" t="s">
        <v>355</v>
      </c>
      <c r="B185">
        <v>45336</v>
      </c>
      <c r="C185" t="s">
        <v>150</v>
      </c>
      <c r="D185" t="s">
        <v>151</v>
      </c>
      <c r="E185" t="s">
        <v>66</v>
      </c>
      <c r="F185" t="s">
        <v>55</v>
      </c>
      <c r="G185" t="s">
        <v>129</v>
      </c>
      <c r="H185" t="s">
        <v>130</v>
      </c>
      <c r="I185" t="s">
        <v>47</v>
      </c>
      <c r="J185" t="s">
        <v>79</v>
      </c>
      <c r="K185" t="s">
        <v>70</v>
      </c>
      <c r="L185" t="s">
        <v>71</v>
      </c>
      <c r="M185" t="s">
        <v>72</v>
      </c>
      <c r="N185">
        <v>924</v>
      </c>
      <c r="O185">
        <v>48.95</v>
      </c>
      <c r="P185">
        <f t="shared" si="0"/>
        <v>45229.8</v>
      </c>
      <c r="Q185">
        <v>29</v>
      </c>
      <c r="R185">
        <v>28</v>
      </c>
      <c r="S185">
        <f t="shared" si="2"/>
        <v>0</v>
      </c>
      <c r="T185" t="str">
        <f t="shared" si="1"/>
        <v>Yes</v>
      </c>
      <c r="U185">
        <v>1761</v>
      </c>
      <c r="V185">
        <v>519</v>
      </c>
      <c r="W185">
        <v>707</v>
      </c>
      <c r="X185">
        <v>1.5</v>
      </c>
      <c r="Y185">
        <v>2</v>
      </c>
      <c r="Z185">
        <v>36.18</v>
      </c>
      <c r="AA185">
        <v>4305</v>
      </c>
      <c r="AB185">
        <v>0.71</v>
      </c>
    </row>
    <row r="186" spans="1:28" x14ac:dyDescent="0.3">
      <c r="A186" t="s">
        <v>356</v>
      </c>
      <c r="B186">
        <v>45337</v>
      </c>
      <c r="C186" t="s">
        <v>64</v>
      </c>
      <c r="D186" t="s">
        <v>65</v>
      </c>
      <c r="E186" t="s">
        <v>66</v>
      </c>
      <c r="F186" t="s">
        <v>33</v>
      </c>
      <c r="G186" t="s">
        <v>67</v>
      </c>
      <c r="H186" t="s">
        <v>68</v>
      </c>
      <c r="I186" t="s">
        <v>58</v>
      </c>
      <c r="J186" t="s">
        <v>69</v>
      </c>
      <c r="K186" t="s">
        <v>49</v>
      </c>
      <c r="L186" t="s">
        <v>50</v>
      </c>
      <c r="M186" t="s">
        <v>51</v>
      </c>
      <c r="N186">
        <v>566</v>
      </c>
      <c r="O186">
        <v>77.28</v>
      </c>
      <c r="P186">
        <f t="shared" si="0"/>
        <v>43740.480000000003</v>
      </c>
      <c r="Q186">
        <v>16</v>
      </c>
      <c r="R186">
        <v>22</v>
      </c>
      <c r="S186">
        <f t="shared" si="2"/>
        <v>6</v>
      </c>
      <c r="T186" t="str">
        <f t="shared" si="1"/>
        <v>No</v>
      </c>
      <c r="U186">
        <v>2452</v>
      </c>
      <c r="V186">
        <v>603</v>
      </c>
      <c r="W186">
        <v>518</v>
      </c>
      <c r="X186">
        <v>2</v>
      </c>
      <c r="Y186">
        <v>3</v>
      </c>
      <c r="Z186">
        <v>58.25</v>
      </c>
      <c r="AA186">
        <v>5887</v>
      </c>
      <c r="AB186">
        <v>0.89</v>
      </c>
    </row>
    <row r="187" spans="1:28" x14ac:dyDescent="0.3">
      <c r="A187" t="s">
        <v>357</v>
      </c>
      <c r="B187">
        <v>45340</v>
      </c>
      <c r="C187" t="s">
        <v>100</v>
      </c>
      <c r="D187" t="s">
        <v>101</v>
      </c>
      <c r="E187" t="s">
        <v>76</v>
      </c>
      <c r="F187" t="s">
        <v>33</v>
      </c>
      <c r="G187" t="s">
        <v>201</v>
      </c>
      <c r="H187" t="s">
        <v>202</v>
      </c>
      <c r="I187" t="s">
        <v>203</v>
      </c>
      <c r="J187" t="s">
        <v>127</v>
      </c>
      <c r="K187" t="s">
        <v>70</v>
      </c>
      <c r="L187" t="s">
        <v>71</v>
      </c>
      <c r="M187" t="s">
        <v>72</v>
      </c>
      <c r="N187">
        <v>644</v>
      </c>
      <c r="O187">
        <v>782.42</v>
      </c>
      <c r="P187">
        <f t="shared" si="0"/>
        <v>503878.48</v>
      </c>
      <c r="Q187">
        <v>26</v>
      </c>
      <c r="R187">
        <v>33</v>
      </c>
      <c r="S187">
        <f t="shared" si="2"/>
        <v>7</v>
      </c>
      <c r="T187" t="str">
        <f t="shared" si="1"/>
        <v>No</v>
      </c>
      <c r="U187">
        <v>2335</v>
      </c>
      <c r="V187">
        <v>597</v>
      </c>
      <c r="W187">
        <v>868</v>
      </c>
      <c r="X187">
        <v>4</v>
      </c>
      <c r="Y187">
        <v>6</v>
      </c>
      <c r="Z187">
        <v>501.42</v>
      </c>
      <c r="AA187">
        <v>6367</v>
      </c>
      <c r="AB187">
        <v>0.79</v>
      </c>
    </row>
    <row r="188" spans="1:28" x14ac:dyDescent="0.3">
      <c r="A188" t="s">
        <v>358</v>
      </c>
      <c r="B188">
        <v>45341</v>
      </c>
      <c r="C188" t="s">
        <v>122</v>
      </c>
      <c r="D188" t="s">
        <v>123</v>
      </c>
      <c r="E188" t="s">
        <v>89</v>
      </c>
      <c r="F188" t="s">
        <v>55</v>
      </c>
      <c r="G188" t="s">
        <v>129</v>
      </c>
      <c r="H188" t="s">
        <v>130</v>
      </c>
      <c r="I188" t="s">
        <v>47</v>
      </c>
      <c r="J188" t="s">
        <v>79</v>
      </c>
      <c r="K188" t="s">
        <v>178</v>
      </c>
      <c r="L188" t="s">
        <v>179</v>
      </c>
      <c r="M188" t="s">
        <v>62</v>
      </c>
      <c r="N188">
        <v>452</v>
      </c>
      <c r="O188">
        <v>2097.6799999999998</v>
      </c>
      <c r="P188">
        <f t="shared" si="0"/>
        <v>948151.35999999987</v>
      </c>
      <c r="Q188">
        <v>28</v>
      </c>
      <c r="R188">
        <v>35</v>
      </c>
      <c r="S188">
        <f t="shared" si="2"/>
        <v>7</v>
      </c>
      <c r="T188" t="str">
        <f t="shared" si="1"/>
        <v>No</v>
      </c>
      <c r="U188">
        <v>828</v>
      </c>
      <c r="V188">
        <v>379</v>
      </c>
      <c r="W188">
        <v>417</v>
      </c>
      <c r="X188">
        <v>8</v>
      </c>
      <c r="Y188">
        <v>12</v>
      </c>
      <c r="Z188">
        <v>1260.48</v>
      </c>
      <c r="AA188">
        <v>2259</v>
      </c>
      <c r="AB188">
        <v>0.76</v>
      </c>
    </row>
    <row r="189" spans="1:28" x14ac:dyDescent="0.3">
      <c r="A189" t="s">
        <v>359</v>
      </c>
      <c r="B189">
        <v>45342</v>
      </c>
      <c r="C189" t="s">
        <v>42</v>
      </c>
      <c r="D189" t="s">
        <v>43</v>
      </c>
      <c r="E189" t="s">
        <v>32</v>
      </c>
      <c r="F189" t="s">
        <v>33</v>
      </c>
      <c r="G189" t="s">
        <v>160</v>
      </c>
      <c r="H189" t="s">
        <v>161</v>
      </c>
      <c r="I189" t="s">
        <v>47</v>
      </c>
      <c r="J189" t="s">
        <v>79</v>
      </c>
      <c r="K189" t="s">
        <v>60</v>
      </c>
      <c r="L189" t="s">
        <v>61</v>
      </c>
      <c r="M189" t="s">
        <v>62</v>
      </c>
      <c r="N189">
        <v>985</v>
      </c>
      <c r="O189">
        <v>590.05999999999995</v>
      </c>
      <c r="P189">
        <f t="shared" si="0"/>
        <v>581209.1</v>
      </c>
      <c r="Q189">
        <v>24</v>
      </c>
      <c r="R189">
        <v>32</v>
      </c>
      <c r="S189">
        <f t="shared" si="2"/>
        <v>8</v>
      </c>
      <c r="T189" t="str">
        <f t="shared" si="1"/>
        <v>No</v>
      </c>
      <c r="U189">
        <v>1814</v>
      </c>
      <c r="V189">
        <v>336</v>
      </c>
      <c r="W189">
        <v>284</v>
      </c>
      <c r="X189">
        <v>3.5</v>
      </c>
      <c r="Y189">
        <v>5</v>
      </c>
      <c r="Z189">
        <v>445.91</v>
      </c>
      <c r="AA189">
        <v>3500</v>
      </c>
      <c r="AB189">
        <v>0.8</v>
      </c>
    </row>
    <row r="190" spans="1:28" x14ac:dyDescent="0.3">
      <c r="A190" t="s">
        <v>360</v>
      </c>
      <c r="B190">
        <v>45343</v>
      </c>
      <c r="C190" t="s">
        <v>144</v>
      </c>
      <c r="D190" t="s">
        <v>145</v>
      </c>
      <c r="E190" t="s">
        <v>76</v>
      </c>
      <c r="F190" t="s">
        <v>55</v>
      </c>
      <c r="G190" t="s">
        <v>67</v>
      </c>
      <c r="H190" t="s">
        <v>68</v>
      </c>
      <c r="I190" t="s">
        <v>58</v>
      </c>
      <c r="J190" t="s">
        <v>69</v>
      </c>
      <c r="K190" t="s">
        <v>70</v>
      </c>
      <c r="L190" t="s">
        <v>71</v>
      </c>
      <c r="M190" t="s">
        <v>72</v>
      </c>
      <c r="N190">
        <v>895</v>
      </c>
      <c r="O190">
        <v>169.31</v>
      </c>
      <c r="P190">
        <f t="shared" si="0"/>
        <v>151532.45000000001</v>
      </c>
      <c r="Q190">
        <v>30</v>
      </c>
      <c r="R190">
        <v>30</v>
      </c>
      <c r="S190">
        <f t="shared" si="2"/>
        <v>0</v>
      </c>
      <c r="T190" t="str">
        <f t="shared" si="1"/>
        <v>Yes</v>
      </c>
      <c r="U190">
        <v>1708</v>
      </c>
      <c r="V190">
        <v>295</v>
      </c>
      <c r="W190">
        <v>388</v>
      </c>
      <c r="X190">
        <v>2.5</v>
      </c>
      <c r="Y190">
        <v>4</v>
      </c>
      <c r="Z190">
        <v>112.84</v>
      </c>
      <c r="AA190">
        <v>3872</v>
      </c>
      <c r="AB190">
        <v>0.92</v>
      </c>
    </row>
    <row r="191" spans="1:28" x14ac:dyDescent="0.3">
      <c r="A191" t="s">
        <v>361</v>
      </c>
      <c r="B191">
        <v>45344</v>
      </c>
      <c r="C191" t="s">
        <v>114</v>
      </c>
      <c r="D191" t="s">
        <v>115</v>
      </c>
      <c r="E191" t="s">
        <v>116</v>
      </c>
      <c r="F191" t="s">
        <v>33</v>
      </c>
      <c r="G191" t="s">
        <v>167</v>
      </c>
      <c r="H191" t="s">
        <v>168</v>
      </c>
      <c r="I191" t="s">
        <v>47</v>
      </c>
      <c r="J191" t="s">
        <v>48</v>
      </c>
      <c r="K191" t="s">
        <v>80</v>
      </c>
      <c r="L191" t="s">
        <v>81</v>
      </c>
      <c r="M191" t="s">
        <v>40</v>
      </c>
      <c r="N191">
        <v>73</v>
      </c>
      <c r="O191">
        <v>3045.47</v>
      </c>
      <c r="P191">
        <f t="shared" si="0"/>
        <v>222319.31</v>
      </c>
      <c r="Q191">
        <v>18</v>
      </c>
      <c r="R191">
        <v>22</v>
      </c>
      <c r="S191">
        <f t="shared" si="2"/>
        <v>4</v>
      </c>
      <c r="T191" t="str">
        <f t="shared" si="1"/>
        <v>No</v>
      </c>
      <c r="U191">
        <v>2412</v>
      </c>
      <c r="V191">
        <v>104</v>
      </c>
      <c r="W191">
        <v>84</v>
      </c>
      <c r="X191">
        <v>11</v>
      </c>
      <c r="Y191">
        <v>15</v>
      </c>
      <c r="Z191">
        <v>2363.6799999999998</v>
      </c>
      <c r="AA191">
        <v>5216</v>
      </c>
      <c r="AB191">
        <v>0.81</v>
      </c>
    </row>
    <row r="192" spans="1:28" x14ac:dyDescent="0.3">
      <c r="A192" t="s">
        <v>362</v>
      </c>
      <c r="B192">
        <v>45346</v>
      </c>
      <c r="C192" t="s">
        <v>100</v>
      </c>
      <c r="D192" t="s">
        <v>101</v>
      </c>
      <c r="E192" t="s">
        <v>76</v>
      </c>
      <c r="F192" t="s">
        <v>44</v>
      </c>
      <c r="G192" t="s">
        <v>181</v>
      </c>
      <c r="H192" t="s">
        <v>182</v>
      </c>
      <c r="I192" t="s">
        <v>126</v>
      </c>
      <c r="J192" t="s">
        <v>127</v>
      </c>
      <c r="K192" t="s">
        <v>70</v>
      </c>
      <c r="L192" t="s">
        <v>71</v>
      </c>
      <c r="M192" t="s">
        <v>72</v>
      </c>
      <c r="N192">
        <v>202</v>
      </c>
      <c r="O192">
        <v>790.66</v>
      </c>
      <c r="P192">
        <f t="shared" si="0"/>
        <v>159713.32</v>
      </c>
      <c r="Q192">
        <v>17</v>
      </c>
      <c r="R192">
        <v>18</v>
      </c>
      <c r="S192">
        <f t="shared" si="2"/>
        <v>1</v>
      </c>
      <c r="T192" t="str">
        <f t="shared" si="1"/>
        <v>No</v>
      </c>
      <c r="U192">
        <v>1892</v>
      </c>
      <c r="V192">
        <v>260</v>
      </c>
      <c r="W192">
        <v>242</v>
      </c>
      <c r="X192">
        <v>4</v>
      </c>
      <c r="Y192">
        <v>6</v>
      </c>
      <c r="Z192">
        <v>527.83000000000004</v>
      </c>
      <c r="AA192">
        <v>6702</v>
      </c>
      <c r="AB192">
        <v>0.82</v>
      </c>
    </row>
    <row r="193" spans="1:28" x14ac:dyDescent="0.3">
      <c r="A193" t="s">
        <v>363</v>
      </c>
      <c r="B193">
        <v>45347</v>
      </c>
      <c r="C193" t="s">
        <v>223</v>
      </c>
      <c r="D193" t="s">
        <v>224</v>
      </c>
      <c r="E193" t="s">
        <v>32</v>
      </c>
      <c r="F193" t="s">
        <v>44</v>
      </c>
      <c r="G193" t="s">
        <v>134</v>
      </c>
      <c r="H193" t="s">
        <v>135</v>
      </c>
      <c r="I193" t="s">
        <v>58</v>
      </c>
      <c r="J193" t="s">
        <v>59</v>
      </c>
      <c r="K193" t="s">
        <v>49</v>
      </c>
      <c r="L193" t="s">
        <v>50</v>
      </c>
      <c r="M193" t="s">
        <v>51</v>
      </c>
      <c r="N193">
        <v>732</v>
      </c>
      <c r="O193">
        <v>1354.03</v>
      </c>
      <c r="P193">
        <f t="shared" si="0"/>
        <v>991149.96</v>
      </c>
      <c r="Q193">
        <v>17</v>
      </c>
      <c r="R193">
        <v>21</v>
      </c>
      <c r="S193">
        <f t="shared" si="2"/>
        <v>4</v>
      </c>
      <c r="T193" t="str">
        <f t="shared" si="1"/>
        <v>No</v>
      </c>
      <c r="U193">
        <v>2738</v>
      </c>
      <c r="V193">
        <v>915</v>
      </c>
      <c r="W193">
        <v>1149</v>
      </c>
      <c r="X193">
        <v>5</v>
      </c>
      <c r="Y193">
        <v>8</v>
      </c>
      <c r="Z193">
        <v>853.61</v>
      </c>
      <c r="AA193">
        <v>803</v>
      </c>
      <c r="AB193">
        <v>0.74</v>
      </c>
    </row>
    <row r="194" spans="1:28" x14ac:dyDescent="0.3">
      <c r="A194" t="s">
        <v>364</v>
      </c>
      <c r="B194">
        <v>45347</v>
      </c>
      <c r="C194" t="s">
        <v>210</v>
      </c>
      <c r="D194" t="s">
        <v>211</v>
      </c>
      <c r="E194" t="s">
        <v>66</v>
      </c>
      <c r="F194" t="s">
        <v>102</v>
      </c>
      <c r="G194" t="s">
        <v>129</v>
      </c>
      <c r="H194" t="s">
        <v>130</v>
      </c>
      <c r="I194" t="s">
        <v>47</v>
      </c>
      <c r="J194" t="s">
        <v>79</v>
      </c>
      <c r="K194" t="s">
        <v>49</v>
      </c>
      <c r="L194" t="s">
        <v>50</v>
      </c>
      <c r="M194" t="s">
        <v>51</v>
      </c>
      <c r="N194">
        <v>595</v>
      </c>
      <c r="O194">
        <v>29.46</v>
      </c>
      <c r="P194">
        <f t="shared" si="0"/>
        <v>17528.7</v>
      </c>
      <c r="Q194">
        <v>6</v>
      </c>
      <c r="R194">
        <v>6</v>
      </c>
      <c r="S194">
        <f t="shared" si="2"/>
        <v>0</v>
      </c>
      <c r="T194" t="str">
        <f t="shared" si="1"/>
        <v>Yes</v>
      </c>
      <c r="U194">
        <v>1148</v>
      </c>
      <c r="V194">
        <v>466</v>
      </c>
      <c r="W194">
        <v>574</v>
      </c>
      <c r="X194">
        <v>1.2</v>
      </c>
      <c r="Y194">
        <v>2</v>
      </c>
      <c r="Z194">
        <v>21.69</v>
      </c>
      <c r="AA194">
        <v>3790</v>
      </c>
      <c r="AB194">
        <v>0.71</v>
      </c>
    </row>
    <row r="195" spans="1:28" x14ac:dyDescent="0.3">
      <c r="A195" t="s">
        <v>365</v>
      </c>
      <c r="B195">
        <v>45349</v>
      </c>
      <c r="C195" t="s">
        <v>74</v>
      </c>
      <c r="D195" t="s">
        <v>75</v>
      </c>
      <c r="E195" t="s">
        <v>76</v>
      </c>
      <c r="F195" t="s">
        <v>55</v>
      </c>
      <c r="G195" t="s">
        <v>164</v>
      </c>
      <c r="H195" t="s">
        <v>165</v>
      </c>
      <c r="I195" t="s">
        <v>47</v>
      </c>
      <c r="J195" t="s">
        <v>48</v>
      </c>
      <c r="K195" t="s">
        <v>70</v>
      </c>
      <c r="L195" t="s">
        <v>71</v>
      </c>
      <c r="M195" t="s">
        <v>72</v>
      </c>
      <c r="N195">
        <v>19</v>
      </c>
      <c r="O195">
        <v>305.5</v>
      </c>
      <c r="P195">
        <f t="shared" si="0"/>
        <v>5804.5</v>
      </c>
      <c r="Q195">
        <v>19</v>
      </c>
      <c r="R195">
        <v>22</v>
      </c>
      <c r="S195">
        <f t="shared" si="2"/>
        <v>3</v>
      </c>
      <c r="T195" t="str">
        <f t="shared" si="1"/>
        <v>No</v>
      </c>
      <c r="U195">
        <v>267</v>
      </c>
      <c r="V195">
        <v>19</v>
      </c>
      <c r="W195">
        <v>24</v>
      </c>
      <c r="X195">
        <v>2</v>
      </c>
      <c r="Y195">
        <v>4</v>
      </c>
      <c r="Z195">
        <v>220.97</v>
      </c>
      <c r="AA195">
        <v>4458</v>
      </c>
      <c r="AB195">
        <v>0.88</v>
      </c>
    </row>
    <row r="196" spans="1:28" x14ac:dyDescent="0.3">
      <c r="A196" t="s">
        <v>366</v>
      </c>
      <c r="B196">
        <v>45356</v>
      </c>
      <c r="C196" t="s">
        <v>100</v>
      </c>
      <c r="D196" t="s">
        <v>101</v>
      </c>
      <c r="E196" t="s">
        <v>76</v>
      </c>
      <c r="F196" t="s">
        <v>102</v>
      </c>
      <c r="G196" t="s">
        <v>254</v>
      </c>
      <c r="H196" t="s">
        <v>255</v>
      </c>
      <c r="I196" t="s">
        <v>58</v>
      </c>
      <c r="J196" t="s">
        <v>59</v>
      </c>
      <c r="K196" t="s">
        <v>70</v>
      </c>
      <c r="L196" t="s">
        <v>71</v>
      </c>
      <c r="M196" t="s">
        <v>72</v>
      </c>
      <c r="N196">
        <v>590</v>
      </c>
      <c r="O196">
        <v>889.94</v>
      </c>
      <c r="P196">
        <f t="shared" si="0"/>
        <v>525064.6</v>
      </c>
      <c r="Q196">
        <v>29</v>
      </c>
      <c r="R196">
        <v>28</v>
      </c>
      <c r="S196">
        <f t="shared" si="2"/>
        <v>0</v>
      </c>
      <c r="T196" t="str">
        <f t="shared" si="1"/>
        <v>Yes</v>
      </c>
      <c r="U196">
        <v>452</v>
      </c>
      <c r="V196">
        <v>575</v>
      </c>
      <c r="W196">
        <v>500</v>
      </c>
      <c r="X196">
        <v>4</v>
      </c>
      <c r="Y196">
        <v>6</v>
      </c>
      <c r="Z196">
        <v>584.88</v>
      </c>
      <c r="AA196">
        <v>4887</v>
      </c>
      <c r="AB196">
        <v>0.95</v>
      </c>
    </row>
    <row r="197" spans="1:28" x14ac:dyDescent="0.3">
      <c r="A197" t="s">
        <v>367</v>
      </c>
      <c r="B197">
        <v>45356</v>
      </c>
      <c r="C197" t="s">
        <v>144</v>
      </c>
      <c r="D197" t="s">
        <v>145</v>
      </c>
      <c r="E197" t="s">
        <v>76</v>
      </c>
      <c r="F197" t="s">
        <v>102</v>
      </c>
      <c r="G197" t="s">
        <v>164</v>
      </c>
      <c r="H197" t="s">
        <v>165</v>
      </c>
      <c r="I197" t="s">
        <v>47</v>
      </c>
      <c r="J197" t="s">
        <v>48</v>
      </c>
      <c r="K197" t="s">
        <v>70</v>
      </c>
      <c r="L197" t="s">
        <v>71</v>
      </c>
      <c r="M197" t="s">
        <v>72</v>
      </c>
      <c r="N197">
        <v>866</v>
      </c>
      <c r="O197">
        <v>202.73</v>
      </c>
      <c r="P197">
        <f t="shared" si="0"/>
        <v>175564.18</v>
      </c>
      <c r="Q197">
        <v>24</v>
      </c>
      <c r="R197">
        <v>30</v>
      </c>
      <c r="S197">
        <f t="shared" si="2"/>
        <v>6</v>
      </c>
      <c r="T197" t="str">
        <f t="shared" si="1"/>
        <v>No</v>
      </c>
      <c r="U197">
        <v>87</v>
      </c>
      <c r="V197">
        <v>916</v>
      </c>
      <c r="W197">
        <v>1101</v>
      </c>
      <c r="X197">
        <v>2.5</v>
      </c>
      <c r="Y197">
        <v>4</v>
      </c>
      <c r="Z197">
        <v>150.77000000000001</v>
      </c>
      <c r="AA197">
        <v>2886</v>
      </c>
      <c r="AB197">
        <v>0.82</v>
      </c>
    </row>
    <row r="198" spans="1:28" x14ac:dyDescent="0.3">
      <c r="A198" t="s">
        <v>368</v>
      </c>
      <c r="B198">
        <v>45356</v>
      </c>
      <c r="C198" t="s">
        <v>144</v>
      </c>
      <c r="D198" t="s">
        <v>145</v>
      </c>
      <c r="E198" t="s">
        <v>76</v>
      </c>
      <c r="F198" t="s">
        <v>117</v>
      </c>
      <c r="G198" t="s">
        <v>201</v>
      </c>
      <c r="H198" t="s">
        <v>202</v>
      </c>
      <c r="I198" t="s">
        <v>203</v>
      </c>
      <c r="J198" t="s">
        <v>127</v>
      </c>
      <c r="K198" t="s">
        <v>70</v>
      </c>
      <c r="L198" t="s">
        <v>71</v>
      </c>
      <c r="M198" t="s">
        <v>72</v>
      </c>
      <c r="N198">
        <v>78</v>
      </c>
      <c r="O198">
        <v>166.54</v>
      </c>
      <c r="P198">
        <f t="shared" si="0"/>
        <v>12990.119999999999</v>
      </c>
      <c r="Q198">
        <v>6</v>
      </c>
      <c r="R198">
        <v>11</v>
      </c>
      <c r="S198">
        <f t="shared" si="2"/>
        <v>5</v>
      </c>
      <c r="T198" t="str">
        <f t="shared" si="1"/>
        <v>No</v>
      </c>
      <c r="U198">
        <v>2468</v>
      </c>
      <c r="V198">
        <v>86</v>
      </c>
      <c r="W198">
        <v>121</v>
      </c>
      <c r="X198">
        <v>2.5</v>
      </c>
      <c r="Y198">
        <v>4</v>
      </c>
      <c r="Z198">
        <v>108.08</v>
      </c>
      <c r="AA198">
        <v>862</v>
      </c>
      <c r="AB198">
        <v>0.81</v>
      </c>
    </row>
    <row r="199" spans="1:28" x14ac:dyDescent="0.3">
      <c r="A199" t="s">
        <v>369</v>
      </c>
      <c r="B199">
        <v>45358</v>
      </c>
      <c r="C199" t="s">
        <v>210</v>
      </c>
      <c r="D199" t="s">
        <v>211</v>
      </c>
      <c r="E199" t="s">
        <v>66</v>
      </c>
      <c r="F199" t="s">
        <v>117</v>
      </c>
      <c r="G199" t="s">
        <v>206</v>
      </c>
      <c r="H199" t="s">
        <v>207</v>
      </c>
      <c r="I199" t="s">
        <v>126</v>
      </c>
      <c r="J199" t="s">
        <v>127</v>
      </c>
      <c r="K199" t="s">
        <v>70</v>
      </c>
      <c r="L199" t="s">
        <v>71</v>
      </c>
      <c r="M199" t="s">
        <v>72</v>
      </c>
      <c r="N199">
        <v>777</v>
      </c>
      <c r="O199">
        <v>28.98</v>
      </c>
      <c r="P199">
        <f t="shared" si="0"/>
        <v>22517.46</v>
      </c>
      <c r="Q199">
        <v>16</v>
      </c>
      <c r="R199">
        <v>17</v>
      </c>
      <c r="S199">
        <f t="shared" si="2"/>
        <v>1</v>
      </c>
      <c r="T199" t="str">
        <f t="shared" si="1"/>
        <v>No</v>
      </c>
      <c r="U199">
        <v>2682</v>
      </c>
      <c r="V199">
        <v>297</v>
      </c>
      <c r="W199">
        <v>436</v>
      </c>
      <c r="X199">
        <v>1.2</v>
      </c>
      <c r="Y199">
        <v>2</v>
      </c>
      <c r="Z199">
        <v>17.62</v>
      </c>
      <c r="AA199">
        <v>754</v>
      </c>
      <c r="AB199">
        <v>0.97</v>
      </c>
    </row>
    <row r="200" spans="1:28" x14ac:dyDescent="0.3">
      <c r="A200" t="s">
        <v>370</v>
      </c>
      <c r="B200">
        <v>45359</v>
      </c>
      <c r="C200" t="s">
        <v>114</v>
      </c>
      <c r="D200" t="s">
        <v>115</v>
      </c>
      <c r="E200" t="s">
        <v>116</v>
      </c>
      <c r="F200" t="s">
        <v>44</v>
      </c>
      <c r="G200" t="s">
        <v>254</v>
      </c>
      <c r="H200" t="s">
        <v>255</v>
      </c>
      <c r="I200" t="s">
        <v>58</v>
      </c>
      <c r="J200" t="s">
        <v>59</v>
      </c>
      <c r="K200" t="s">
        <v>60</v>
      </c>
      <c r="L200" t="s">
        <v>61</v>
      </c>
      <c r="M200" t="s">
        <v>62</v>
      </c>
      <c r="N200">
        <v>990</v>
      </c>
      <c r="O200">
        <v>3490.8</v>
      </c>
      <c r="P200">
        <f t="shared" si="0"/>
        <v>3455892</v>
      </c>
      <c r="Q200">
        <v>8</v>
      </c>
      <c r="R200">
        <v>7</v>
      </c>
      <c r="S200">
        <f t="shared" si="2"/>
        <v>0</v>
      </c>
      <c r="T200" t="str">
        <f t="shared" si="1"/>
        <v>Yes</v>
      </c>
      <c r="U200">
        <v>1576</v>
      </c>
      <c r="V200">
        <v>411</v>
      </c>
      <c r="W200">
        <v>572</v>
      </c>
      <c r="X200">
        <v>11</v>
      </c>
      <c r="Y200">
        <v>15</v>
      </c>
      <c r="Z200">
        <v>2515.9699999999998</v>
      </c>
      <c r="AA200">
        <v>7111</v>
      </c>
      <c r="AB200">
        <v>0.71</v>
      </c>
    </row>
    <row r="201" spans="1:28" x14ac:dyDescent="0.3">
      <c r="A201" t="s">
        <v>371</v>
      </c>
      <c r="B201">
        <v>45360</v>
      </c>
      <c r="C201" t="s">
        <v>158</v>
      </c>
      <c r="D201" t="s">
        <v>159</v>
      </c>
      <c r="E201" t="s">
        <v>89</v>
      </c>
      <c r="F201" t="s">
        <v>33</v>
      </c>
      <c r="G201" t="s">
        <v>45</v>
      </c>
      <c r="H201" t="s">
        <v>46</v>
      </c>
      <c r="I201" t="s">
        <v>47</v>
      </c>
      <c r="J201" t="s">
        <v>48</v>
      </c>
      <c r="K201" t="s">
        <v>178</v>
      </c>
      <c r="L201" t="s">
        <v>179</v>
      </c>
      <c r="M201" t="s">
        <v>62</v>
      </c>
      <c r="N201">
        <v>716</v>
      </c>
      <c r="O201">
        <v>6461.96</v>
      </c>
      <c r="P201">
        <f t="shared" si="0"/>
        <v>4626763.3600000003</v>
      </c>
      <c r="Q201">
        <v>14</v>
      </c>
      <c r="R201">
        <v>18</v>
      </c>
      <c r="S201">
        <f t="shared" si="2"/>
        <v>4</v>
      </c>
      <c r="T201" t="str">
        <f t="shared" si="1"/>
        <v>No</v>
      </c>
      <c r="U201">
        <v>2771</v>
      </c>
      <c r="V201">
        <v>773</v>
      </c>
      <c r="W201">
        <v>855</v>
      </c>
      <c r="X201">
        <v>15</v>
      </c>
      <c r="Y201">
        <v>20</v>
      </c>
      <c r="Z201">
        <v>4546.08</v>
      </c>
      <c r="AA201">
        <v>1491</v>
      </c>
      <c r="AB201">
        <v>0.77</v>
      </c>
    </row>
    <row r="202" spans="1:28" x14ac:dyDescent="0.3">
      <c r="A202" t="s">
        <v>372</v>
      </c>
      <c r="B202">
        <v>45360</v>
      </c>
      <c r="C202" t="s">
        <v>109</v>
      </c>
      <c r="D202" t="s">
        <v>110</v>
      </c>
      <c r="E202" t="s">
        <v>32</v>
      </c>
      <c r="F202" t="s">
        <v>44</v>
      </c>
      <c r="G202" t="s">
        <v>167</v>
      </c>
      <c r="H202" t="s">
        <v>168</v>
      </c>
      <c r="I202" t="s">
        <v>47</v>
      </c>
      <c r="J202" t="s">
        <v>48</v>
      </c>
      <c r="K202" t="s">
        <v>93</v>
      </c>
      <c r="L202" t="s">
        <v>94</v>
      </c>
      <c r="M202" t="s">
        <v>95</v>
      </c>
      <c r="N202">
        <v>233</v>
      </c>
      <c r="O202">
        <v>2440.02</v>
      </c>
      <c r="P202">
        <f t="shared" si="0"/>
        <v>568524.66</v>
      </c>
      <c r="Q202">
        <v>26</v>
      </c>
      <c r="R202">
        <v>32</v>
      </c>
      <c r="S202">
        <f t="shared" si="2"/>
        <v>6</v>
      </c>
      <c r="T202" t="str">
        <f t="shared" si="1"/>
        <v>No</v>
      </c>
      <c r="U202">
        <v>2574</v>
      </c>
      <c r="V202">
        <v>180</v>
      </c>
      <c r="W202">
        <v>156</v>
      </c>
      <c r="X202">
        <v>6</v>
      </c>
      <c r="Y202">
        <v>9</v>
      </c>
      <c r="Z202">
        <v>1713.63</v>
      </c>
      <c r="AA202">
        <v>5926</v>
      </c>
      <c r="AB202">
        <v>0.97</v>
      </c>
    </row>
    <row r="203" spans="1:28" x14ac:dyDescent="0.3">
      <c r="A203" t="s">
        <v>373</v>
      </c>
      <c r="B203">
        <v>45363</v>
      </c>
      <c r="C203" t="s">
        <v>64</v>
      </c>
      <c r="D203" t="s">
        <v>65</v>
      </c>
      <c r="E203" t="s">
        <v>66</v>
      </c>
      <c r="F203" t="s">
        <v>102</v>
      </c>
      <c r="G203" t="s">
        <v>138</v>
      </c>
      <c r="H203" t="s">
        <v>139</v>
      </c>
      <c r="I203" t="s">
        <v>47</v>
      </c>
      <c r="J203" t="s">
        <v>48</v>
      </c>
      <c r="K203" t="s">
        <v>70</v>
      </c>
      <c r="L203" t="s">
        <v>71</v>
      </c>
      <c r="M203" t="s">
        <v>72</v>
      </c>
      <c r="N203">
        <v>771</v>
      </c>
      <c r="O203">
        <v>94.81</v>
      </c>
      <c r="P203">
        <f t="shared" si="0"/>
        <v>73098.509999999995</v>
      </c>
      <c r="Q203">
        <v>19</v>
      </c>
      <c r="R203">
        <v>21</v>
      </c>
      <c r="S203">
        <f t="shared" si="2"/>
        <v>2</v>
      </c>
      <c r="T203" t="str">
        <f t="shared" si="1"/>
        <v>No</v>
      </c>
      <c r="U203">
        <v>1032</v>
      </c>
      <c r="V203">
        <v>1008</v>
      </c>
      <c r="W203">
        <v>1002</v>
      </c>
      <c r="X203">
        <v>2</v>
      </c>
      <c r="Y203">
        <v>3</v>
      </c>
      <c r="Z203">
        <v>71.63</v>
      </c>
      <c r="AA203">
        <v>4469</v>
      </c>
      <c r="AB203">
        <v>0.88</v>
      </c>
    </row>
    <row r="204" spans="1:28" x14ac:dyDescent="0.3">
      <c r="A204" t="s">
        <v>374</v>
      </c>
      <c r="B204">
        <v>45363</v>
      </c>
      <c r="C204" t="s">
        <v>122</v>
      </c>
      <c r="D204" t="s">
        <v>123</v>
      </c>
      <c r="E204" t="s">
        <v>89</v>
      </c>
      <c r="F204" t="s">
        <v>102</v>
      </c>
      <c r="G204" t="s">
        <v>186</v>
      </c>
      <c r="H204" t="s">
        <v>187</v>
      </c>
      <c r="I204" t="s">
        <v>47</v>
      </c>
      <c r="J204" t="s">
        <v>48</v>
      </c>
      <c r="K204" t="s">
        <v>93</v>
      </c>
      <c r="L204" t="s">
        <v>94</v>
      </c>
      <c r="M204" t="s">
        <v>95</v>
      </c>
      <c r="N204">
        <v>53</v>
      </c>
      <c r="O204">
        <v>2271.58</v>
      </c>
      <c r="P204">
        <f t="shared" si="0"/>
        <v>120393.73999999999</v>
      </c>
      <c r="Q204">
        <v>16</v>
      </c>
      <c r="R204">
        <v>23</v>
      </c>
      <c r="S204">
        <f t="shared" si="2"/>
        <v>7</v>
      </c>
      <c r="T204" t="str">
        <f t="shared" si="1"/>
        <v>No</v>
      </c>
      <c r="U204">
        <v>1801</v>
      </c>
      <c r="V204">
        <v>33</v>
      </c>
      <c r="W204">
        <v>49</v>
      </c>
      <c r="X204">
        <v>8</v>
      </c>
      <c r="Y204">
        <v>12</v>
      </c>
      <c r="Z204">
        <v>1793.59</v>
      </c>
      <c r="AA204">
        <v>1114</v>
      </c>
      <c r="AB204">
        <v>0.89</v>
      </c>
    </row>
    <row r="205" spans="1:28" x14ac:dyDescent="0.3">
      <c r="A205" t="s">
        <v>375</v>
      </c>
      <c r="B205">
        <v>45367</v>
      </c>
      <c r="C205" t="s">
        <v>74</v>
      </c>
      <c r="D205" t="s">
        <v>75</v>
      </c>
      <c r="E205" t="s">
        <v>76</v>
      </c>
      <c r="F205" t="s">
        <v>117</v>
      </c>
      <c r="G205" t="s">
        <v>300</v>
      </c>
      <c r="H205" t="s">
        <v>301</v>
      </c>
      <c r="I205" t="s">
        <v>47</v>
      </c>
      <c r="J205" t="s">
        <v>85</v>
      </c>
      <c r="K205" t="s">
        <v>80</v>
      </c>
      <c r="L205" t="s">
        <v>81</v>
      </c>
      <c r="M205" t="s">
        <v>40</v>
      </c>
      <c r="N205">
        <v>930</v>
      </c>
      <c r="O205">
        <v>362.65</v>
      </c>
      <c r="P205">
        <f t="shared" si="0"/>
        <v>337264.5</v>
      </c>
      <c r="Q205">
        <v>6</v>
      </c>
      <c r="R205">
        <v>9</v>
      </c>
      <c r="S205">
        <f t="shared" si="2"/>
        <v>3</v>
      </c>
      <c r="T205" t="str">
        <f t="shared" si="1"/>
        <v>No</v>
      </c>
      <c r="U205">
        <v>880</v>
      </c>
      <c r="V205">
        <v>1040</v>
      </c>
      <c r="W205">
        <v>1317</v>
      </c>
      <c r="X205">
        <v>2</v>
      </c>
      <c r="Y205">
        <v>4</v>
      </c>
      <c r="Z205">
        <v>243.24</v>
      </c>
      <c r="AA205">
        <v>5086</v>
      </c>
      <c r="AB205">
        <v>0.95</v>
      </c>
    </row>
    <row r="206" spans="1:28" x14ac:dyDescent="0.3">
      <c r="A206" t="s">
        <v>376</v>
      </c>
      <c r="B206">
        <v>45368</v>
      </c>
      <c r="C206" t="s">
        <v>42</v>
      </c>
      <c r="D206" t="s">
        <v>43</v>
      </c>
      <c r="E206" t="s">
        <v>32</v>
      </c>
      <c r="F206" t="s">
        <v>102</v>
      </c>
      <c r="G206" t="s">
        <v>103</v>
      </c>
      <c r="H206" t="s">
        <v>104</v>
      </c>
      <c r="I206" t="s">
        <v>47</v>
      </c>
      <c r="J206" t="s">
        <v>79</v>
      </c>
      <c r="K206" t="s">
        <v>49</v>
      </c>
      <c r="L206" t="s">
        <v>50</v>
      </c>
      <c r="M206" t="s">
        <v>51</v>
      </c>
      <c r="N206">
        <v>894</v>
      </c>
      <c r="O206">
        <v>703.47</v>
      </c>
      <c r="P206">
        <f t="shared" si="0"/>
        <v>628902.18000000005</v>
      </c>
      <c r="Q206">
        <v>26</v>
      </c>
      <c r="R206">
        <v>34</v>
      </c>
      <c r="S206">
        <f t="shared" si="2"/>
        <v>8</v>
      </c>
      <c r="T206" t="str">
        <f t="shared" si="1"/>
        <v>No</v>
      </c>
      <c r="U206">
        <v>2666</v>
      </c>
      <c r="V206">
        <v>373</v>
      </c>
      <c r="W206">
        <v>403</v>
      </c>
      <c r="X206">
        <v>3.5</v>
      </c>
      <c r="Y206">
        <v>5</v>
      </c>
      <c r="Z206">
        <v>469.82</v>
      </c>
      <c r="AA206">
        <v>7558</v>
      </c>
      <c r="AB206">
        <v>0.73</v>
      </c>
    </row>
    <row r="207" spans="1:28" x14ac:dyDescent="0.3">
      <c r="A207" t="s">
        <v>377</v>
      </c>
      <c r="B207">
        <v>45371</v>
      </c>
      <c r="C207" t="s">
        <v>100</v>
      </c>
      <c r="D207" t="s">
        <v>101</v>
      </c>
      <c r="E207" t="s">
        <v>76</v>
      </c>
      <c r="F207" t="s">
        <v>102</v>
      </c>
      <c r="G207" t="s">
        <v>181</v>
      </c>
      <c r="H207" t="s">
        <v>182</v>
      </c>
      <c r="I207" t="s">
        <v>126</v>
      </c>
      <c r="J207" t="s">
        <v>127</v>
      </c>
      <c r="K207" t="s">
        <v>70</v>
      </c>
      <c r="L207" t="s">
        <v>71</v>
      </c>
      <c r="M207" t="s">
        <v>72</v>
      </c>
      <c r="N207">
        <v>326</v>
      </c>
      <c r="O207">
        <v>906.54</v>
      </c>
      <c r="P207">
        <f t="shared" si="0"/>
        <v>295532.03999999998</v>
      </c>
      <c r="Q207">
        <v>26</v>
      </c>
      <c r="R207">
        <v>26</v>
      </c>
      <c r="S207">
        <f t="shared" si="2"/>
        <v>0</v>
      </c>
      <c r="T207" t="str">
        <f t="shared" si="1"/>
        <v>Yes</v>
      </c>
      <c r="U207">
        <v>509</v>
      </c>
      <c r="V207">
        <v>102</v>
      </c>
      <c r="W207">
        <v>91</v>
      </c>
      <c r="X207">
        <v>4</v>
      </c>
      <c r="Y207">
        <v>6</v>
      </c>
      <c r="Z207">
        <v>545.98</v>
      </c>
      <c r="AA207">
        <v>4566</v>
      </c>
      <c r="AB207">
        <v>0.97</v>
      </c>
    </row>
    <row r="208" spans="1:28" x14ac:dyDescent="0.3">
      <c r="A208" t="s">
        <v>378</v>
      </c>
      <c r="B208">
        <v>45374</v>
      </c>
      <c r="C208" t="s">
        <v>53</v>
      </c>
      <c r="D208" t="s">
        <v>54</v>
      </c>
      <c r="E208" t="s">
        <v>32</v>
      </c>
      <c r="F208" t="s">
        <v>55</v>
      </c>
      <c r="G208" t="s">
        <v>111</v>
      </c>
      <c r="H208" t="s">
        <v>112</v>
      </c>
      <c r="I208" t="s">
        <v>58</v>
      </c>
      <c r="J208" t="s">
        <v>69</v>
      </c>
      <c r="K208" t="s">
        <v>49</v>
      </c>
      <c r="L208" t="s">
        <v>50</v>
      </c>
      <c r="M208" t="s">
        <v>51</v>
      </c>
      <c r="N208">
        <v>915</v>
      </c>
      <c r="O208">
        <v>444.33</v>
      </c>
      <c r="P208">
        <f t="shared" si="0"/>
        <v>406561.95</v>
      </c>
      <c r="Q208">
        <v>5</v>
      </c>
      <c r="R208">
        <v>9</v>
      </c>
      <c r="S208">
        <f t="shared" si="2"/>
        <v>4</v>
      </c>
      <c r="T208" t="str">
        <f t="shared" si="1"/>
        <v>No</v>
      </c>
      <c r="U208">
        <v>238</v>
      </c>
      <c r="V208">
        <v>709</v>
      </c>
      <c r="W208">
        <v>752</v>
      </c>
      <c r="X208">
        <v>3</v>
      </c>
      <c r="Y208">
        <v>5</v>
      </c>
      <c r="Z208">
        <v>300.91000000000003</v>
      </c>
      <c r="AA208">
        <v>1168</v>
      </c>
      <c r="AB208">
        <v>0.8</v>
      </c>
    </row>
    <row r="209" spans="1:28" x14ac:dyDescent="0.3">
      <c r="A209" t="s">
        <v>379</v>
      </c>
      <c r="B209">
        <v>45375</v>
      </c>
      <c r="C209" t="s">
        <v>195</v>
      </c>
      <c r="D209" t="s">
        <v>196</v>
      </c>
      <c r="E209" t="s">
        <v>116</v>
      </c>
      <c r="F209" t="s">
        <v>117</v>
      </c>
      <c r="G209" t="s">
        <v>192</v>
      </c>
      <c r="H209" t="s">
        <v>193</v>
      </c>
      <c r="I209" t="s">
        <v>47</v>
      </c>
      <c r="J209" t="s">
        <v>79</v>
      </c>
      <c r="K209" t="s">
        <v>38</v>
      </c>
      <c r="L209" t="s">
        <v>39</v>
      </c>
      <c r="M209" t="s">
        <v>40</v>
      </c>
      <c r="N209">
        <v>633</v>
      </c>
      <c r="O209">
        <v>1044.8399999999999</v>
      </c>
      <c r="P209">
        <f t="shared" si="0"/>
        <v>661383.72</v>
      </c>
      <c r="Q209">
        <v>27</v>
      </c>
      <c r="R209">
        <v>27</v>
      </c>
      <c r="S209">
        <f t="shared" si="2"/>
        <v>0</v>
      </c>
      <c r="T209" t="str">
        <f t="shared" si="1"/>
        <v>Yes</v>
      </c>
      <c r="U209">
        <v>1292</v>
      </c>
      <c r="V209">
        <v>608</v>
      </c>
      <c r="W209">
        <v>721</v>
      </c>
      <c r="X209">
        <v>4</v>
      </c>
      <c r="Y209">
        <v>6</v>
      </c>
      <c r="Z209">
        <v>646.38</v>
      </c>
      <c r="AA209">
        <v>7392</v>
      </c>
      <c r="AB209">
        <v>0.96</v>
      </c>
    </row>
    <row r="210" spans="1:28" x14ac:dyDescent="0.3">
      <c r="A210" t="s">
        <v>380</v>
      </c>
      <c r="B210">
        <v>45384</v>
      </c>
      <c r="C210" t="s">
        <v>176</v>
      </c>
      <c r="D210" t="s">
        <v>177</v>
      </c>
      <c r="E210" t="s">
        <v>89</v>
      </c>
      <c r="F210" t="s">
        <v>44</v>
      </c>
      <c r="G210" t="s">
        <v>164</v>
      </c>
      <c r="H210" t="s">
        <v>165</v>
      </c>
      <c r="I210" t="s">
        <v>47</v>
      </c>
      <c r="J210" t="s">
        <v>48</v>
      </c>
      <c r="K210" t="s">
        <v>178</v>
      </c>
      <c r="L210" t="s">
        <v>179</v>
      </c>
      <c r="M210" t="s">
        <v>62</v>
      </c>
      <c r="N210">
        <v>124</v>
      </c>
      <c r="O210">
        <v>3844.85</v>
      </c>
      <c r="P210">
        <f t="shared" si="0"/>
        <v>476761.39999999997</v>
      </c>
      <c r="Q210">
        <v>22</v>
      </c>
      <c r="R210">
        <v>28</v>
      </c>
      <c r="S210">
        <f t="shared" si="2"/>
        <v>6</v>
      </c>
      <c r="T210" t="str">
        <f t="shared" si="1"/>
        <v>No</v>
      </c>
      <c r="U210">
        <v>2365</v>
      </c>
      <c r="V210">
        <v>117</v>
      </c>
      <c r="W210">
        <v>107</v>
      </c>
      <c r="X210">
        <v>12</v>
      </c>
      <c r="Y210">
        <v>18</v>
      </c>
      <c r="Z210">
        <v>2963.98</v>
      </c>
      <c r="AA210">
        <v>4119</v>
      </c>
      <c r="AB210">
        <v>0.73</v>
      </c>
    </row>
    <row r="211" spans="1:28" x14ac:dyDescent="0.3">
      <c r="A211" t="s">
        <v>381</v>
      </c>
      <c r="B211">
        <v>45386</v>
      </c>
      <c r="C211" t="s">
        <v>122</v>
      </c>
      <c r="D211" t="s">
        <v>123</v>
      </c>
      <c r="E211" t="s">
        <v>89</v>
      </c>
      <c r="F211" t="s">
        <v>55</v>
      </c>
      <c r="G211" t="s">
        <v>225</v>
      </c>
      <c r="H211" t="s">
        <v>226</v>
      </c>
      <c r="I211" t="s">
        <v>36</v>
      </c>
      <c r="J211" t="s">
        <v>37</v>
      </c>
      <c r="K211" t="s">
        <v>97</v>
      </c>
      <c r="L211" t="s">
        <v>98</v>
      </c>
      <c r="M211" t="s">
        <v>51</v>
      </c>
      <c r="N211">
        <v>139</v>
      </c>
      <c r="O211">
        <v>1912.4</v>
      </c>
      <c r="P211">
        <f t="shared" si="0"/>
        <v>265823.60000000003</v>
      </c>
      <c r="Q211">
        <v>7</v>
      </c>
      <c r="R211">
        <v>12</v>
      </c>
      <c r="S211">
        <f t="shared" si="2"/>
        <v>5</v>
      </c>
      <c r="T211" t="str">
        <f t="shared" si="1"/>
        <v>No</v>
      </c>
      <c r="U211">
        <v>2589</v>
      </c>
      <c r="V211">
        <v>66</v>
      </c>
      <c r="W211">
        <v>80</v>
      </c>
      <c r="X211">
        <v>8</v>
      </c>
      <c r="Y211">
        <v>12</v>
      </c>
      <c r="Z211">
        <v>1269.74</v>
      </c>
      <c r="AA211">
        <v>6456</v>
      </c>
      <c r="AB211">
        <v>0.96</v>
      </c>
    </row>
    <row r="212" spans="1:28" x14ac:dyDescent="0.3">
      <c r="A212" t="s">
        <v>382</v>
      </c>
      <c r="B212">
        <v>45387</v>
      </c>
      <c r="C212" t="s">
        <v>106</v>
      </c>
      <c r="D212" t="s">
        <v>107</v>
      </c>
      <c r="E212" t="s">
        <v>76</v>
      </c>
      <c r="F212" t="s">
        <v>33</v>
      </c>
      <c r="G212" t="s">
        <v>186</v>
      </c>
      <c r="H212" t="s">
        <v>187</v>
      </c>
      <c r="I212" t="s">
        <v>47</v>
      </c>
      <c r="J212" t="s">
        <v>48</v>
      </c>
      <c r="K212" t="s">
        <v>70</v>
      </c>
      <c r="L212" t="s">
        <v>71</v>
      </c>
      <c r="M212" t="s">
        <v>72</v>
      </c>
      <c r="N212">
        <v>909</v>
      </c>
      <c r="O212">
        <v>2435.98</v>
      </c>
      <c r="P212">
        <f t="shared" si="0"/>
        <v>2214305.8199999998</v>
      </c>
      <c r="Q212">
        <v>22</v>
      </c>
      <c r="R212">
        <v>27</v>
      </c>
      <c r="S212">
        <f t="shared" si="2"/>
        <v>5</v>
      </c>
      <c r="T212" t="str">
        <f t="shared" si="1"/>
        <v>No</v>
      </c>
      <c r="U212">
        <v>548</v>
      </c>
      <c r="V212">
        <v>744</v>
      </c>
      <c r="W212">
        <v>1069</v>
      </c>
      <c r="X212">
        <v>7</v>
      </c>
      <c r="Y212">
        <v>10</v>
      </c>
      <c r="Z212">
        <v>1488.58</v>
      </c>
      <c r="AA212">
        <v>1517</v>
      </c>
      <c r="AB212">
        <v>0.85</v>
      </c>
    </row>
    <row r="213" spans="1:28" x14ac:dyDescent="0.3">
      <c r="A213" t="s">
        <v>383</v>
      </c>
      <c r="B213">
        <v>45388</v>
      </c>
      <c r="C213" t="s">
        <v>195</v>
      </c>
      <c r="D213" t="s">
        <v>196</v>
      </c>
      <c r="E213" t="s">
        <v>116</v>
      </c>
      <c r="F213" t="s">
        <v>55</v>
      </c>
      <c r="G213" t="s">
        <v>186</v>
      </c>
      <c r="H213" t="s">
        <v>187</v>
      </c>
      <c r="I213" t="s">
        <v>47</v>
      </c>
      <c r="J213" t="s">
        <v>48</v>
      </c>
      <c r="K213" t="s">
        <v>38</v>
      </c>
      <c r="L213" t="s">
        <v>39</v>
      </c>
      <c r="M213" t="s">
        <v>40</v>
      </c>
      <c r="N213">
        <v>973</v>
      </c>
      <c r="O213">
        <v>944.16</v>
      </c>
      <c r="P213">
        <f t="shared" si="0"/>
        <v>918667.67999999993</v>
      </c>
      <c r="Q213">
        <v>10</v>
      </c>
      <c r="R213">
        <v>23</v>
      </c>
      <c r="S213">
        <f t="shared" si="2"/>
        <v>13</v>
      </c>
      <c r="T213" t="str">
        <f t="shared" si="1"/>
        <v>No</v>
      </c>
      <c r="U213">
        <v>1576</v>
      </c>
      <c r="V213">
        <v>391</v>
      </c>
      <c r="W213">
        <v>482</v>
      </c>
      <c r="X213">
        <v>4</v>
      </c>
      <c r="Y213">
        <v>6</v>
      </c>
      <c r="Z213">
        <v>717.2</v>
      </c>
      <c r="AA213">
        <v>6341</v>
      </c>
      <c r="AB213">
        <v>0.72</v>
      </c>
    </row>
    <row r="214" spans="1:28" x14ac:dyDescent="0.3">
      <c r="A214" t="s">
        <v>384</v>
      </c>
      <c r="B214">
        <v>45388</v>
      </c>
      <c r="C214" t="s">
        <v>109</v>
      </c>
      <c r="D214" t="s">
        <v>110</v>
      </c>
      <c r="E214" t="s">
        <v>32</v>
      </c>
      <c r="F214" t="s">
        <v>102</v>
      </c>
      <c r="G214" t="s">
        <v>77</v>
      </c>
      <c r="H214" t="s">
        <v>78</v>
      </c>
      <c r="I214" t="s">
        <v>47</v>
      </c>
      <c r="J214" t="s">
        <v>79</v>
      </c>
      <c r="K214" t="s">
        <v>97</v>
      </c>
      <c r="L214" t="s">
        <v>98</v>
      </c>
      <c r="M214" t="s">
        <v>51</v>
      </c>
      <c r="N214">
        <v>408</v>
      </c>
      <c r="O214">
        <v>2563.98</v>
      </c>
      <c r="P214">
        <f t="shared" si="0"/>
        <v>1046103.84</v>
      </c>
      <c r="Q214">
        <v>22</v>
      </c>
      <c r="R214">
        <v>31</v>
      </c>
      <c r="S214">
        <f t="shared" si="2"/>
        <v>9</v>
      </c>
      <c r="T214" t="str">
        <f t="shared" si="1"/>
        <v>No</v>
      </c>
      <c r="U214">
        <v>2970</v>
      </c>
      <c r="V214">
        <v>425</v>
      </c>
      <c r="W214">
        <v>564</v>
      </c>
      <c r="X214">
        <v>6</v>
      </c>
      <c r="Y214">
        <v>9</v>
      </c>
      <c r="Z214">
        <v>1838.68</v>
      </c>
      <c r="AA214">
        <v>6241</v>
      </c>
      <c r="AB214">
        <v>0.94</v>
      </c>
    </row>
    <row r="215" spans="1:28" x14ac:dyDescent="0.3">
      <c r="A215" t="s">
        <v>385</v>
      </c>
      <c r="B215">
        <v>45389</v>
      </c>
      <c r="C215" t="s">
        <v>210</v>
      </c>
      <c r="D215" t="s">
        <v>211</v>
      </c>
      <c r="E215" t="s">
        <v>66</v>
      </c>
      <c r="F215" t="s">
        <v>55</v>
      </c>
      <c r="G215" t="s">
        <v>45</v>
      </c>
      <c r="H215" t="s">
        <v>46</v>
      </c>
      <c r="I215" t="s">
        <v>47</v>
      </c>
      <c r="J215" t="s">
        <v>48</v>
      </c>
      <c r="K215" t="s">
        <v>70</v>
      </c>
      <c r="L215" t="s">
        <v>71</v>
      </c>
      <c r="M215" t="s">
        <v>72</v>
      </c>
      <c r="N215">
        <v>600</v>
      </c>
      <c r="O215">
        <v>30.55</v>
      </c>
      <c r="P215">
        <f t="shared" si="0"/>
        <v>18330</v>
      </c>
      <c r="Q215">
        <v>20</v>
      </c>
      <c r="R215">
        <v>21</v>
      </c>
      <c r="S215">
        <f t="shared" si="2"/>
        <v>1</v>
      </c>
      <c r="T215" t="str">
        <f t="shared" si="1"/>
        <v>No</v>
      </c>
      <c r="U215">
        <v>2536</v>
      </c>
      <c r="V215">
        <v>492</v>
      </c>
      <c r="W215">
        <v>541</v>
      </c>
      <c r="X215">
        <v>1.2</v>
      </c>
      <c r="Y215">
        <v>2</v>
      </c>
      <c r="Z215">
        <v>20.95</v>
      </c>
      <c r="AA215">
        <v>4410</v>
      </c>
      <c r="AB215">
        <v>0.81</v>
      </c>
    </row>
    <row r="216" spans="1:28" x14ac:dyDescent="0.3">
      <c r="A216" t="s">
        <v>386</v>
      </c>
      <c r="B216">
        <v>45390</v>
      </c>
      <c r="C216" t="s">
        <v>100</v>
      </c>
      <c r="D216" t="s">
        <v>101</v>
      </c>
      <c r="E216" t="s">
        <v>76</v>
      </c>
      <c r="F216" t="s">
        <v>33</v>
      </c>
      <c r="G216" t="s">
        <v>240</v>
      </c>
      <c r="H216" t="s">
        <v>241</v>
      </c>
      <c r="I216" t="s">
        <v>126</v>
      </c>
      <c r="J216" t="s">
        <v>127</v>
      </c>
      <c r="K216" t="s">
        <v>70</v>
      </c>
      <c r="L216" t="s">
        <v>71</v>
      </c>
      <c r="M216" t="s">
        <v>72</v>
      </c>
      <c r="N216">
        <v>770</v>
      </c>
      <c r="O216">
        <v>902.51</v>
      </c>
      <c r="P216">
        <f t="shared" si="0"/>
        <v>694932.7</v>
      </c>
      <c r="Q216">
        <v>17</v>
      </c>
      <c r="R216">
        <v>25</v>
      </c>
      <c r="S216">
        <f t="shared" si="2"/>
        <v>8</v>
      </c>
      <c r="T216" t="str">
        <f t="shared" si="1"/>
        <v>No</v>
      </c>
      <c r="U216">
        <v>2871</v>
      </c>
      <c r="V216">
        <v>496</v>
      </c>
      <c r="W216">
        <v>627</v>
      </c>
      <c r="X216">
        <v>4</v>
      </c>
      <c r="Y216">
        <v>6</v>
      </c>
      <c r="Z216">
        <v>708.74</v>
      </c>
      <c r="AA216">
        <v>3674</v>
      </c>
      <c r="AB216">
        <v>0.82</v>
      </c>
    </row>
    <row r="217" spans="1:28" x14ac:dyDescent="0.3">
      <c r="A217" t="s">
        <v>387</v>
      </c>
      <c r="B217">
        <v>45392</v>
      </c>
      <c r="C217" t="s">
        <v>170</v>
      </c>
      <c r="D217" t="s">
        <v>171</v>
      </c>
      <c r="E217" t="s">
        <v>116</v>
      </c>
      <c r="F217" t="s">
        <v>102</v>
      </c>
      <c r="G217" t="s">
        <v>124</v>
      </c>
      <c r="H217" t="s">
        <v>125</v>
      </c>
      <c r="I217" t="s">
        <v>126</v>
      </c>
      <c r="J217" t="s">
        <v>127</v>
      </c>
      <c r="K217" t="s">
        <v>38</v>
      </c>
      <c r="L217" t="s">
        <v>39</v>
      </c>
      <c r="M217" t="s">
        <v>40</v>
      </c>
      <c r="N217">
        <v>812</v>
      </c>
      <c r="O217">
        <v>1922.04</v>
      </c>
      <c r="P217">
        <f t="shared" si="0"/>
        <v>1560696.48</v>
      </c>
      <c r="Q217">
        <v>27</v>
      </c>
      <c r="R217">
        <v>31</v>
      </c>
      <c r="S217">
        <f t="shared" si="2"/>
        <v>4</v>
      </c>
      <c r="T217" t="str">
        <f t="shared" si="1"/>
        <v>No</v>
      </c>
      <c r="U217">
        <v>797</v>
      </c>
      <c r="V217">
        <v>532</v>
      </c>
      <c r="W217">
        <v>786</v>
      </c>
      <c r="X217">
        <v>7</v>
      </c>
      <c r="Y217">
        <v>10</v>
      </c>
      <c r="Z217">
        <v>1375.87</v>
      </c>
      <c r="AA217">
        <v>4941</v>
      </c>
      <c r="AB217">
        <v>0.72</v>
      </c>
    </row>
    <row r="218" spans="1:28" x14ac:dyDescent="0.3">
      <c r="A218" t="s">
        <v>388</v>
      </c>
      <c r="B218">
        <v>45397</v>
      </c>
      <c r="C218" t="s">
        <v>64</v>
      </c>
      <c r="D218" t="s">
        <v>65</v>
      </c>
      <c r="E218" t="s">
        <v>66</v>
      </c>
      <c r="F218" t="s">
        <v>117</v>
      </c>
      <c r="G218" t="s">
        <v>67</v>
      </c>
      <c r="H218" t="s">
        <v>68</v>
      </c>
      <c r="I218" t="s">
        <v>58</v>
      </c>
      <c r="J218" t="s">
        <v>69</v>
      </c>
      <c r="K218" t="s">
        <v>49</v>
      </c>
      <c r="L218" t="s">
        <v>50</v>
      </c>
      <c r="M218" t="s">
        <v>51</v>
      </c>
      <c r="N218">
        <v>90</v>
      </c>
      <c r="O218">
        <v>88.23</v>
      </c>
      <c r="P218">
        <f t="shared" si="0"/>
        <v>7940.7000000000007</v>
      </c>
      <c r="Q218">
        <v>25</v>
      </c>
      <c r="R218">
        <v>33</v>
      </c>
      <c r="S218">
        <f t="shared" si="2"/>
        <v>8</v>
      </c>
      <c r="T218" t="str">
        <f t="shared" si="1"/>
        <v>No</v>
      </c>
      <c r="U218">
        <v>2384</v>
      </c>
      <c r="V218">
        <v>47</v>
      </c>
      <c r="W218">
        <v>39</v>
      </c>
      <c r="X218">
        <v>2</v>
      </c>
      <c r="Y218">
        <v>3</v>
      </c>
      <c r="Z218">
        <v>64.61</v>
      </c>
      <c r="AA218">
        <v>6832</v>
      </c>
      <c r="AB218">
        <v>0.78</v>
      </c>
    </row>
    <row r="219" spans="1:28" x14ac:dyDescent="0.3">
      <c r="A219" t="s">
        <v>389</v>
      </c>
      <c r="B219">
        <v>45399</v>
      </c>
      <c r="C219" t="s">
        <v>106</v>
      </c>
      <c r="D219" t="s">
        <v>107</v>
      </c>
      <c r="E219" t="s">
        <v>76</v>
      </c>
      <c r="F219" t="s">
        <v>117</v>
      </c>
      <c r="G219" t="s">
        <v>218</v>
      </c>
      <c r="H219" t="s">
        <v>219</v>
      </c>
      <c r="I219" t="s">
        <v>58</v>
      </c>
      <c r="J219" t="s">
        <v>59</v>
      </c>
      <c r="K219" t="s">
        <v>80</v>
      </c>
      <c r="L219" t="s">
        <v>81</v>
      </c>
      <c r="M219" t="s">
        <v>40</v>
      </c>
      <c r="N219">
        <v>861</v>
      </c>
      <c r="O219">
        <v>2137.89</v>
      </c>
      <c r="P219">
        <f t="shared" si="0"/>
        <v>1840723.2899999998</v>
      </c>
      <c r="Q219">
        <v>25</v>
      </c>
      <c r="R219">
        <v>33</v>
      </c>
      <c r="S219">
        <f t="shared" si="2"/>
        <v>8</v>
      </c>
      <c r="T219" t="str">
        <f t="shared" si="1"/>
        <v>No</v>
      </c>
      <c r="U219">
        <v>2453</v>
      </c>
      <c r="V219">
        <v>782</v>
      </c>
      <c r="W219">
        <v>878</v>
      </c>
      <c r="X219">
        <v>7</v>
      </c>
      <c r="Y219">
        <v>10</v>
      </c>
      <c r="Z219">
        <v>1519.75</v>
      </c>
      <c r="AA219">
        <v>6986</v>
      </c>
      <c r="AB219">
        <v>0.91</v>
      </c>
    </row>
    <row r="220" spans="1:28" x14ac:dyDescent="0.3">
      <c r="A220" t="s">
        <v>390</v>
      </c>
      <c r="B220">
        <v>45399</v>
      </c>
      <c r="C220" t="s">
        <v>100</v>
      </c>
      <c r="D220" t="s">
        <v>101</v>
      </c>
      <c r="E220" t="s">
        <v>76</v>
      </c>
      <c r="F220" t="s">
        <v>55</v>
      </c>
      <c r="G220" t="s">
        <v>206</v>
      </c>
      <c r="H220" t="s">
        <v>207</v>
      </c>
      <c r="I220" t="s">
        <v>126</v>
      </c>
      <c r="J220" t="s">
        <v>127</v>
      </c>
      <c r="K220" t="s">
        <v>80</v>
      </c>
      <c r="L220" t="s">
        <v>81</v>
      </c>
      <c r="M220" t="s">
        <v>40</v>
      </c>
      <c r="N220">
        <v>531</v>
      </c>
      <c r="O220">
        <v>914.9</v>
      </c>
      <c r="P220">
        <f t="shared" si="0"/>
        <v>485811.89999999997</v>
      </c>
      <c r="Q220">
        <v>18</v>
      </c>
      <c r="R220">
        <v>27</v>
      </c>
      <c r="S220">
        <f t="shared" si="2"/>
        <v>9</v>
      </c>
      <c r="T220" t="str">
        <f t="shared" si="1"/>
        <v>No</v>
      </c>
      <c r="U220">
        <v>1018</v>
      </c>
      <c r="V220">
        <v>450</v>
      </c>
      <c r="W220">
        <v>405</v>
      </c>
      <c r="X220">
        <v>4</v>
      </c>
      <c r="Y220">
        <v>6</v>
      </c>
      <c r="Z220">
        <v>583.82000000000005</v>
      </c>
      <c r="AA220">
        <v>5410</v>
      </c>
      <c r="AB220">
        <v>0.84</v>
      </c>
    </row>
    <row r="221" spans="1:28" x14ac:dyDescent="0.3">
      <c r="A221" t="s">
        <v>391</v>
      </c>
      <c r="B221">
        <v>45401</v>
      </c>
      <c r="C221" t="s">
        <v>64</v>
      </c>
      <c r="D221" t="s">
        <v>65</v>
      </c>
      <c r="E221" t="s">
        <v>66</v>
      </c>
      <c r="F221" t="s">
        <v>102</v>
      </c>
      <c r="G221" t="s">
        <v>90</v>
      </c>
      <c r="H221" t="s">
        <v>91</v>
      </c>
      <c r="I221" t="s">
        <v>58</v>
      </c>
      <c r="J221" t="s">
        <v>92</v>
      </c>
      <c r="K221" t="s">
        <v>49</v>
      </c>
      <c r="L221" t="s">
        <v>50</v>
      </c>
      <c r="M221" t="s">
        <v>51</v>
      </c>
      <c r="N221">
        <v>853</v>
      </c>
      <c r="O221">
        <v>81.38</v>
      </c>
      <c r="P221">
        <f t="shared" si="0"/>
        <v>69417.14</v>
      </c>
      <c r="Q221">
        <v>19</v>
      </c>
      <c r="R221">
        <v>22</v>
      </c>
      <c r="S221">
        <f t="shared" si="2"/>
        <v>3</v>
      </c>
      <c r="T221" t="str">
        <f t="shared" si="1"/>
        <v>No</v>
      </c>
      <c r="U221">
        <v>1149</v>
      </c>
      <c r="V221">
        <v>448</v>
      </c>
      <c r="W221">
        <v>632</v>
      </c>
      <c r="X221">
        <v>2</v>
      </c>
      <c r="Y221">
        <v>3</v>
      </c>
      <c r="Z221">
        <v>61.29</v>
      </c>
      <c r="AA221">
        <v>763</v>
      </c>
      <c r="AB221">
        <v>0.93</v>
      </c>
    </row>
    <row r="222" spans="1:28" x14ac:dyDescent="0.3">
      <c r="A222" t="s">
        <v>392</v>
      </c>
      <c r="B222">
        <v>45407</v>
      </c>
      <c r="C222" t="s">
        <v>106</v>
      </c>
      <c r="D222" t="s">
        <v>107</v>
      </c>
      <c r="E222" t="s">
        <v>76</v>
      </c>
      <c r="F222" t="s">
        <v>33</v>
      </c>
      <c r="G222" t="s">
        <v>192</v>
      </c>
      <c r="H222" t="s">
        <v>193</v>
      </c>
      <c r="I222" t="s">
        <v>47</v>
      </c>
      <c r="J222" t="s">
        <v>79</v>
      </c>
      <c r="K222" t="s">
        <v>70</v>
      </c>
      <c r="L222" t="s">
        <v>71</v>
      </c>
      <c r="M222" t="s">
        <v>72</v>
      </c>
      <c r="N222">
        <v>29</v>
      </c>
      <c r="O222">
        <v>2120.7600000000002</v>
      </c>
      <c r="P222">
        <f t="shared" si="0"/>
        <v>61502.040000000008</v>
      </c>
      <c r="Q222">
        <v>9</v>
      </c>
      <c r="R222">
        <v>21</v>
      </c>
      <c r="S222">
        <f t="shared" si="2"/>
        <v>12</v>
      </c>
      <c r="T222" t="str">
        <f t="shared" si="1"/>
        <v>No</v>
      </c>
      <c r="U222">
        <v>2181</v>
      </c>
      <c r="V222">
        <v>23</v>
      </c>
      <c r="W222">
        <v>30</v>
      </c>
      <c r="X222">
        <v>7</v>
      </c>
      <c r="Y222">
        <v>10</v>
      </c>
      <c r="Z222">
        <v>1373.25</v>
      </c>
      <c r="AA222">
        <v>1498</v>
      </c>
      <c r="AB222">
        <v>0.71</v>
      </c>
    </row>
    <row r="223" spans="1:28" x14ac:dyDescent="0.3">
      <c r="A223" t="s">
        <v>393</v>
      </c>
      <c r="B223">
        <v>45410</v>
      </c>
      <c r="C223" t="s">
        <v>223</v>
      </c>
      <c r="D223" t="s">
        <v>224</v>
      </c>
      <c r="E223" t="s">
        <v>32</v>
      </c>
      <c r="F223" t="s">
        <v>44</v>
      </c>
      <c r="G223" t="s">
        <v>103</v>
      </c>
      <c r="H223" t="s">
        <v>104</v>
      </c>
      <c r="I223" t="s">
        <v>47</v>
      </c>
      <c r="J223" t="s">
        <v>79</v>
      </c>
      <c r="K223" t="s">
        <v>60</v>
      </c>
      <c r="L223" t="s">
        <v>61</v>
      </c>
      <c r="M223" t="s">
        <v>62</v>
      </c>
      <c r="N223">
        <v>797</v>
      </c>
      <c r="O223">
        <v>1120.6300000000001</v>
      </c>
      <c r="P223">
        <f t="shared" si="0"/>
        <v>893142.1100000001</v>
      </c>
      <c r="Q223">
        <v>25</v>
      </c>
      <c r="R223">
        <v>32</v>
      </c>
      <c r="S223">
        <f t="shared" si="2"/>
        <v>7</v>
      </c>
      <c r="T223" t="str">
        <f t="shared" si="1"/>
        <v>No</v>
      </c>
      <c r="U223">
        <v>1586</v>
      </c>
      <c r="V223">
        <v>668</v>
      </c>
      <c r="W223">
        <v>963</v>
      </c>
      <c r="X223">
        <v>5</v>
      </c>
      <c r="Y223">
        <v>8</v>
      </c>
      <c r="Z223">
        <v>756.98</v>
      </c>
      <c r="AA223">
        <v>1157</v>
      </c>
      <c r="AB223">
        <v>0.89</v>
      </c>
    </row>
    <row r="224" spans="1:28" x14ac:dyDescent="0.3">
      <c r="A224" t="s">
        <v>394</v>
      </c>
      <c r="B224">
        <v>45413</v>
      </c>
      <c r="C224" t="s">
        <v>30</v>
      </c>
      <c r="D224" t="s">
        <v>31</v>
      </c>
      <c r="E224" t="s">
        <v>32</v>
      </c>
      <c r="F224" t="s">
        <v>55</v>
      </c>
      <c r="G224" t="s">
        <v>206</v>
      </c>
      <c r="H224" t="s">
        <v>207</v>
      </c>
      <c r="I224" t="s">
        <v>126</v>
      </c>
      <c r="J224" t="s">
        <v>127</v>
      </c>
      <c r="K224" t="s">
        <v>93</v>
      </c>
      <c r="L224" t="s">
        <v>94</v>
      </c>
      <c r="M224" t="s">
        <v>95</v>
      </c>
      <c r="N224">
        <v>90</v>
      </c>
      <c r="O224">
        <v>12483.76</v>
      </c>
      <c r="P224">
        <f t="shared" si="0"/>
        <v>1123538.3999999999</v>
      </c>
      <c r="Q224">
        <v>27</v>
      </c>
      <c r="R224">
        <v>34</v>
      </c>
      <c r="S224">
        <f t="shared" si="2"/>
        <v>7</v>
      </c>
      <c r="T224" t="str">
        <f t="shared" si="1"/>
        <v>No</v>
      </c>
      <c r="U224">
        <v>2359</v>
      </c>
      <c r="V224">
        <v>124</v>
      </c>
      <c r="W224">
        <v>168</v>
      </c>
      <c r="X224">
        <v>25</v>
      </c>
      <c r="Y224">
        <v>35</v>
      </c>
      <c r="Z224">
        <v>9181.9</v>
      </c>
      <c r="AA224">
        <v>5581</v>
      </c>
      <c r="AB224">
        <v>0.74</v>
      </c>
    </row>
    <row r="225" spans="1:28" x14ac:dyDescent="0.3">
      <c r="A225" t="s">
        <v>395</v>
      </c>
      <c r="B225">
        <v>45414</v>
      </c>
      <c r="C225" t="s">
        <v>195</v>
      </c>
      <c r="D225" t="s">
        <v>196</v>
      </c>
      <c r="E225" t="s">
        <v>116</v>
      </c>
      <c r="F225" t="s">
        <v>55</v>
      </c>
      <c r="G225" t="s">
        <v>45</v>
      </c>
      <c r="H225" t="s">
        <v>46</v>
      </c>
      <c r="I225" t="s">
        <v>47</v>
      </c>
      <c r="J225" t="s">
        <v>48</v>
      </c>
      <c r="K225" t="s">
        <v>80</v>
      </c>
      <c r="L225" t="s">
        <v>81</v>
      </c>
      <c r="M225" t="s">
        <v>40</v>
      </c>
      <c r="N225">
        <v>338</v>
      </c>
      <c r="O225">
        <v>922.79</v>
      </c>
      <c r="P225">
        <f t="shared" si="0"/>
        <v>311903.01999999996</v>
      </c>
      <c r="Q225">
        <v>6</v>
      </c>
      <c r="R225">
        <v>15</v>
      </c>
      <c r="S225">
        <f t="shared" si="2"/>
        <v>9</v>
      </c>
      <c r="T225" t="str">
        <f t="shared" si="1"/>
        <v>No</v>
      </c>
      <c r="U225">
        <v>2371</v>
      </c>
      <c r="V225">
        <v>195</v>
      </c>
      <c r="W225">
        <v>256</v>
      </c>
      <c r="X225">
        <v>4</v>
      </c>
      <c r="Y225">
        <v>6</v>
      </c>
      <c r="Z225">
        <v>710.61</v>
      </c>
      <c r="AA225">
        <v>805</v>
      </c>
      <c r="AB225">
        <v>0.96</v>
      </c>
    </row>
    <row r="226" spans="1:28" x14ac:dyDescent="0.3">
      <c r="A226" t="s">
        <v>396</v>
      </c>
      <c r="B226">
        <v>45416</v>
      </c>
      <c r="C226" t="s">
        <v>74</v>
      </c>
      <c r="D226" t="s">
        <v>75</v>
      </c>
      <c r="E226" t="s">
        <v>76</v>
      </c>
      <c r="F226" t="s">
        <v>102</v>
      </c>
      <c r="G226" t="s">
        <v>134</v>
      </c>
      <c r="H226" t="s">
        <v>135</v>
      </c>
      <c r="I226" t="s">
        <v>58</v>
      </c>
      <c r="J226" t="s">
        <v>59</v>
      </c>
      <c r="K226" t="s">
        <v>80</v>
      </c>
      <c r="L226" t="s">
        <v>81</v>
      </c>
      <c r="M226" t="s">
        <v>40</v>
      </c>
      <c r="N226">
        <v>435</v>
      </c>
      <c r="O226">
        <v>344.16</v>
      </c>
      <c r="P226">
        <f t="shared" si="0"/>
        <v>149709.6</v>
      </c>
      <c r="Q226">
        <v>20</v>
      </c>
      <c r="R226">
        <v>33</v>
      </c>
      <c r="S226">
        <f t="shared" si="2"/>
        <v>13</v>
      </c>
      <c r="T226" t="str">
        <f t="shared" si="1"/>
        <v>No</v>
      </c>
      <c r="U226">
        <v>914</v>
      </c>
      <c r="V226">
        <v>528</v>
      </c>
      <c r="W226">
        <v>673</v>
      </c>
      <c r="X226">
        <v>2</v>
      </c>
      <c r="Y226">
        <v>4</v>
      </c>
      <c r="Z226">
        <v>247.5</v>
      </c>
      <c r="AA226">
        <v>6950</v>
      </c>
      <c r="AB226">
        <v>0.72</v>
      </c>
    </row>
    <row r="227" spans="1:28" x14ac:dyDescent="0.3">
      <c r="A227" t="s">
        <v>397</v>
      </c>
      <c r="B227">
        <v>45417</v>
      </c>
      <c r="C227" t="s">
        <v>106</v>
      </c>
      <c r="D227" t="s">
        <v>107</v>
      </c>
      <c r="E227" t="s">
        <v>76</v>
      </c>
      <c r="F227" t="s">
        <v>44</v>
      </c>
      <c r="G227" t="s">
        <v>119</v>
      </c>
      <c r="H227" t="s">
        <v>120</v>
      </c>
      <c r="I227" t="s">
        <v>58</v>
      </c>
      <c r="J227" t="s">
        <v>59</v>
      </c>
      <c r="K227" t="s">
        <v>70</v>
      </c>
      <c r="L227" t="s">
        <v>71</v>
      </c>
      <c r="M227" t="s">
        <v>72</v>
      </c>
      <c r="N227">
        <v>268</v>
      </c>
      <c r="O227">
        <v>2497.58</v>
      </c>
      <c r="P227">
        <f t="shared" si="0"/>
        <v>669351.43999999994</v>
      </c>
      <c r="Q227">
        <v>20</v>
      </c>
      <c r="R227">
        <v>20</v>
      </c>
      <c r="S227">
        <f t="shared" si="2"/>
        <v>0</v>
      </c>
      <c r="T227" t="str">
        <f t="shared" si="1"/>
        <v>Yes</v>
      </c>
      <c r="U227">
        <v>1661</v>
      </c>
      <c r="V227">
        <v>238</v>
      </c>
      <c r="W227">
        <v>286</v>
      </c>
      <c r="X227">
        <v>7</v>
      </c>
      <c r="Y227">
        <v>10</v>
      </c>
      <c r="Z227">
        <v>1841.44</v>
      </c>
      <c r="AA227">
        <v>1742</v>
      </c>
      <c r="AB227">
        <v>0.74</v>
      </c>
    </row>
    <row r="228" spans="1:28" x14ac:dyDescent="0.3">
      <c r="A228" t="s">
        <v>398</v>
      </c>
      <c r="B228">
        <v>45423</v>
      </c>
      <c r="C228" t="s">
        <v>176</v>
      </c>
      <c r="D228" t="s">
        <v>177</v>
      </c>
      <c r="E228" t="s">
        <v>89</v>
      </c>
      <c r="F228" t="s">
        <v>44</v>
      </c>
      <c r="G228" t="s">
        <v>111</v>
      </c>
      <c r="H228" t="s">
        <v>112</v>
      </c>
      <c r="I228" t="s">
        <v>58</v>
      </c>
      <c r="J228" t="s">
        <v>69</v>
      </c>
      <c r="K228" t="s">
        <v>97</v>
      </c>
      <c r="L228" t="s">
        <v>98</v>
      </c>
      <c r="M228" t="s">
        <v>51</v>
      </c>
      <c r="N228">
        <v>537</v>
      </c>
      <c r="O228">
        <v>4611.0600000000004</v>
      </c>
      <c r="P228">
        <f t="shared" si="0"/>
        <v>2476139.2200000002</v>
      </c>
      <c r="Q228">
        <v>7</v>
      </c>
      <c r="R228">
        <v>16</v>
      </c>
      <c r="S228">
        <f t="shared" si="2"/>
        <v>9</v>
      </c>
      <c r="T228" t="str">
        <f t="shared" si="1"/>
        <v>No</v>
      </c>
      <c r="U228">
        <v>1672</v>
      </c>
      <c r="V228">
        <v>248</v>
      </c>
      <c r="W228">
        <v>346</v>
      </c>
      <c r="X228">
        <v>12</v>
      </c>
      <c r="Y228">
        <v>18</v>
      </c>
      <c r="Z228">
        <v>3577.57</v>
      </c>
      <c r="AA228">
        <v>737</v>
      </c>
      <c r="AB228">
        <v>0.75</v>
      </c>
    </row>
    <row r="229" spans="1:28" x14ac:dyDescent="0.3">
      <c r="A229" t="s">
        <v>399</v>
      </c>
      <c r="B229">
        <v>45426</v>
      </c>
      <c r="C229" t="s">
        <v>100</v>
      </c>
      <c r="D229" t="s">
        <v>101</v>
      </c>
      <c r="E229" t="s">
        <v>76</v>
      </c>
      <c r="F229" t="s">
        <v>102</v>
      </c>
      <c r="G229" t="s">
        <v>167</v>
      </c>
      <c r="H229" t="s">
        <v>168</v>
      </c>
      <c r="I229" t="s">
        <v>47</v>
      </c>
      <c r="J229" t="s">
        <v>48</v>
      </c>
      <c r="K229" t="s">
        <v>70</v>
      </c>
      <c r="L229" t="s">
        <v>71</v>
      </c>
      <c r="M229" t="s">
        <v>72</v>
      </c>
      <c r="N229">
        <v>74</v>
      </c>
      <c r="O229">
        <v>820.59</v>
      </c>
      <c r="P229">
        <f t="shared" si="0"/>
        <v>60723.66</v>
      </c>
      <c r="Q229">
        <v>15</v>
      </c>
      <c r="R229">
        <v>24</v>
      </c>
      <c r="S229">
        <f t="shared" si="2"/>
        <v>9</v>
      </c>
      <c r="T229" t="str">
        <f t="shared" si="1"/>
        <v>No</v>
      </c>
      <c r="U229">
        <v>2169</v>
      </c>
      <c r="V229">
        <v>90</v>
      </c>
      <c r="W229">
        <v>108</v>
      </c>
      <c r="X229">
        <v>4</v>
      </c>
      <c r="Y229">
        <v>6</v>
      </c>
      <c r="Z229">
        <v>585.08000000000004</v>
      </c>
      <c r="AA229">
        <v>5987</v>
      </c>
      <c r="AB229">
        <v>0.94</v>
      </c>
    </row>
    <row r="230" spans="1:28" x14ac:dyDescent="0.3">
      <c r="A230" t="s">
        <v>400</v>
      </c>
      <c r="B230">
        <v>45426</v>
      </c>
      <c r="C230" t="s">
        <v>114</v>
      </c>
      <c r="D230" t="s">
        <v>115</v>
      </c>
      <c r="E230" t="s">
        <v>116</v>
      </c>
      <c r="F230" t="s">
        <v>33</v>
      </c>
      <c r="G230" t="s">
        <v>192</v>
      </c>
      <c r="H230" t="s">
        <v>193</v>
      </c>
      <c r="I230" t="s">
        <v>47</v>
      </c>
      <c r="J230" t="s">
        <v>79</v>
      </c>
      <c r="K230" t="s">
        <v>38</v>
      </c>
      <c r="L230" t="s">
        <v>39</v>
      </c>
      <c r="M230" t="s">
        <v>40</v>
      </c>
      <c r="N230">
        <v>105</v>
      </c>
      <c r="O230">
        <v>3464.75</v>
      </c>
      <c r="P230">
        <f t="shared" si="0"/>
        <v>363798.75</v>
      </c>
      <c r="Q230">
        <v>19</v>
      </c>
      <c r="R230">
        <v>21</v>
      </c>
      <c r="S230">
        <f t="shared" si="2"/>
        <v>2</v>
      </c>
      <c r="T230" t="str">
        <f t="shared" si="1"/>
        <v>No</v>
      </c>
      <c r="U230">
        <v>2209</v>
      </c>
      <c r="V230">
        <v>81</v>
      </c>
      <c r="W230">
        <v>119</v>
      </c>
      <c r="X230">
        <v>11</v>
      </c>
      <c r="Y230">
        <v>15</v>
      </c>
      <c r="Z230">
        <v>2650.42</v>
      </c>
      <c r="AA230">
        <v>4552</v>
      </c>
      <c r="AB230">
        <v>0.78</v>
      </c>
    </row>
    <row r="231" spans="1:28" x14ac:dyDescent="0.3">
      <c r="A231" t="s">
        <v>401</v>
      </c>
      <c r="B231">
        <v>45428</v>
      </c>
      <c r="C231" t="s">
        <v>74</v>
      </c>
      <c r="D231" t="s">
        <v>75</v>
      </c>
      <c r="E231" t="s">
        <v>76</v>
      </c>
      <c r="F231" t="s">
        <v>33</v>
      </c>
      <c r="G231" t="s">
        <v>129</v>
      </c>
      <c r="H231" t="s">
        <v>130</v>
      </c>
      <c r="I231" t="s">
        <v>47</v>
      </c>
      <c r="J231" t="s">
        <v>79</v>
      </c>
      <c r="K231" t="s">
        <v>80</v>
      </c>
      <c r="L231" t="s">
        <v>81</v>
      </c>
      <c r="M231" t="s">
        <v>40</v>
      </c>
      <c r="N231">
        <v>652</v>
      </c>
      <c r="O231">
        <v>321.14</v>
      </c>
      <c r="P231">
        <f t="shared" si="0"/>
        <v>209383.28</v>
      </c>
      <c r="Q231">
        <v>19</v>
      </c>
      <c r="R231">
        <v>28</v>
      </c>
      <c r="S231">
        <f t="shared" si="2"/>
        <v>9</v>
      </c>
      <c r="T231" t="str">
        <f t="shared" si="1"/>
        <v>No</v>
      </c>
      <c r="U231">
        <v>401</v>
      </c>
      <c r="V231">
        <v>510</v>
      </c>
      <c r="W231">
        <v>675</v>
      </c>
      <c r="X231">
        <v>2</v>
      </c>
      <c r="Y231">
        <v>4</v>
      </c>
      <c r="Z231">
        <v>237.3</v>
      </c>
      <c r="AA231">
        <v>7686</v>
      </c>
      <c r="AB231">
        <v>0.8</v>
      </c>
    </row>
    <row r="232" spans="1:28" x14ac:dyDescent="0.3">
      <c r="A232" t="s">
        <v>402</v>
      </c>
      <c r="B232">
        <v>45434</v>
      </c>
      <c r="C232" t="s">
        <v>170</v>
      </c>
      <c r="D232" t="s">
        <v>171</v>
      </c>
      <c r="E232" t="s">
        <v>116</v>
      </c>
      <c r="F232" t="s">
        <v>102</v>
      </c>
      <c r="G232" t="s">
        <v>111</v>
      </c>
      <c r="H232" t="s">
        <v>112</v>
      </c>
      <c r="I232" t="s">
        <v>58</v>
      </c>
      <c r="J232" t="s">
        <v>69</v>
      </c>
      <c r="K232" t="s">
        <v>38</v>
      </c>
      <c r="L232" t="s">
        <v>39</v>
      </c>
      <c r="M232" t="s">
        <v>40</v>
      </c>
      <c r="N232">
        <v>47</v>
      </c>
      <c r="O232">
        <v>1875.36</v>
      </c>
      <c r="P232">
        <f t="shared" si="0"/>
        <v>88141.92</v>
      </c>
      <c r="Q232">
        <v>15</v>
      </c>
      <c r="R232">
        <v>21</v>
      </c>
      <c r="S232">
        <f t="shared" si="2"/>
        <v>6</v>
      </c>
      <c r="T232" t="str">
        <f t="shared" si="1"/>
        <v>No</v>
      </c>
      <c r="U232">
        <v>494</v>
      </c>
      <c r="V232">
        <v>68</v>
      </c>
      <c r="W232">
        <v>73</v>
      </c>
      <c r="X232">
        <v>7</v>
      </c>
      <c r="Y232">
        <v>10</v>
      </c>
      <c r="Z232">
        <v>1318.22</v>
      </c>
      <c r="AA232">
        <v>509</v>
      </c>
      <c r="AB232">
        <v>0.88</v>
      </c>
    </row>
    <row r="233" spans="1:28" x14ac:dyDescent="0.3">
      <c r="A233" t="s">
        <v>403</v>
      </c>
      <c r="B233">
        <v>45436</v>
      </c>
      <c r="C233" t="s">
        <v>87</v>
      </c>
      <c r="D233" t="s">
        <v>88</v>
      </c>
      <c r="E233" t="s">
        <v>89</v>
      </c>
      <c r="F233" t="s">
        <v>117</v>
      </c>
      <c r="G233" t="s">
        <v>34</v>
      </c>
      <c r="H233" t="s">
        <v>35</v>
      </c>
      <c r="I233" t="s">
        <v>36</v>
      </c>
      <c r="J233" t="s">
        <v>37</v>
      </c>
      <c r="K233" t="s">
        <v>178</v>
      </c>
      <c r="L233" t="s">
        <v>179</v>
      </c>
      <c r="M233" t="s">
        <v>62</v>
      </c>
      <c r="N233">
        <v>478</v>
      </c>
      <c r="O233">
        <v>9704.2099999999991</v>
      </c>
      <c r="P233">
        <f t="shared" si="0"/>
        <v>4638612.38</v>
      </c>
      <c r="Q233">
        <v>11</v>
      </c>
      <c r="R233">
        <v>19</v>
      </c>
      <c r="S233">
        <f t="shared" si="2"/>
        <v>8</v>
      </c>
      <c r="T233" t="str">
        <f t="shared" si="1"/>
        <v>No</v>
      </c>
      <c r="U233">
        <v>219</v>
      </c>
      <c r="V233">
        <v>172</v>
      </c>
      <c r="W233">
        <v>197</v>
      </c>
      <c r="X233">
        <v>18</v>
      </c>
      <c r="Y233">
        <v>25</v>
      </c>
      <c r="Z233">
        <v>7535.01</v>
      </c>
      <c r="AA233">
        <v>5859</v>
      </c>
      <c r="AB233">
        <v>0.89</v>
      </c>
    </row>
    <row r="234" spans="1:28" x14ac:dyDescent="0.3">
      <c r="A234" t="s">
        <v>404</v>
      </c>
      <c r="B234">
        <v>45439</v>
      </c>
      <c r="C234" t="s">
        <v>42</v>
      </c>
      <c r="D234" t="s">
        <v>43</v>
      </c>
      <c r="E234" t="s">
        <v>32</v>
      </c>
      <c r="F234" t="s">
        <v>117</v>
      </c>
      <c r="G234" t="s">
        <v>141</v>
      </c>
      <c r="H234" t="s">
        <v>142</v>
      </c>
      <c r="I234" t="s">
        <v>47</v>
      </c>
      <c r="J234" t="s">
        <v>48</v>
      </c>
      <c r="K234" t="s">
        <v>49</v>
      </c>
      <c r="L234" t="s">
        <v>50</v>
      </c>
      <c r="M234" t="s">
        <v>51</v>
      </c>
      <c r="N234">
        <v>247</v>
      </c>
      <c r="O234">
        <v>721.28</v>
      </c>
      <c r="P234">
        <f t="shared" si="0"/>
        <v>178156.16</v>
      </c>
      <c r="Q234">
        <v>15</v>
      </c>
      <c r="R234">
        <v>27</v>
      </c>
      <c r="S234">
        <f t="shared" si="2"/>
        <v>12</v>
      </c>
      <c r="T234" t="str">
        <f t="shared" si="1"/>
        <v>No</v>
      </c>
      <c r="U234">
        <v>2459</v>
      </c>
      <c r="V234">
        <v>191</v>
      </c>
      <c r="W234">
        <v>256</v>
      </c>
      <c r="X234">
        <v>3.5</v>
      </c>
      <c r="Y234">
        <v>5</v>
      </c>
      <c r="Z234">
        <v>437.04</v>
      </c>
      <c r="AA234">
        <v>2739</v>
      </c>
      <c r="AB234">
        <v>0.92</v>
      </c>
    </row>
    <row r="235" spans="1:28" x14ac:dyDescent="0.3">
      <c r="A235" t="s">
        <v>405</v>
      </c>
      <c r="B235">
        <v>45445</v>
      </c>
      <c r="C235" t="s">
        <v>210</v>
      </c>
      <c r="D235" t="s">
        <v>211</v>
      </c>
      <c r="E235" t="s">
        <v>66</v>
      </c>
      <c r="F235" t="s">
        <v>55</v>
      </c>
      <c r="G235" t="s">
        <v>67</v>
      </c>
      <c r="H235" t="s">
        <v>68</v>
      </c>
      <c r="I235" t="s">
        <v>58</v>
      </c>
      <c r="J235" t="s">
        <v>69</v>
      </c>
      <c r="K235" t="s">
        <v>49</v>
      </c>
      <c r="L235" t="s">
        <v>50</v>
      </c>
      <c r="M235" t="s">
        <v>51</v>
      </c>
      <c r="N235">
        <v>912</v>
      </c>
      <c r="O235">
        <v>25.68</v>
      </c>
      <c r="P235">
        <f t="shared" si="0"/>
        <v>23420.16</v>
      </c>
      <c r="Q235">
        <v>12</v>
      </c>
      <c r="R235">
        <v>17</v>
      </c>
      <c r="S235">
        <f t="shared" si="2"/>
        <v>5</v>
      </c>
      <c r="T235" t="str">
        <f t="shared" si="1"/>
        <v>No</v>
      </c>
      <c r="U235">
        <v>666</v>
      </c>
      <c r="V235">
        <v>753</v>
      </c>
      <c r="W235">
        <v>888</v>
      </c>
      <c r="X235">
        <v>1.2</v>
      </c>
      <c r="Y235">
        <v>2</v>
      </c>
      <c r="Z235">
        <v>16.96</v>
      </c>
      <c r="AA235">
        <v>7111</v>
      </c>
      <c r="AB235">
        <v>0.88</v>
      </c>
    </row>
    <row r="236" spans="1:28" x14ac:dyDescent="0.3">
      <c r="A236" t="s">
        <v>406</v>
      </c>
      <c r="B236">
        <v>45447</v>
      </c>
      <c r="C236" t="s">
        <v>122</v>
      </c>
      <c r="D236" t="s">
        <v>123</v>
      </c>
      <c r="E236" t="s">
        <v>89</v>
      </c>
      <c r="F236" t="s">
        <v>33</v>
      </c>
      <c r="G236" t="s">
        <v>119</v>
      </c>
      <c r="H236" t="s">
        <v>120</v>
      </c>
      <c r="I236" t="s">
        <v>58</v>
      </c>
      <c r="J236" t="s">
        <v>59</v>
      </c>
      <c r="K236" t="s">
        <v>178</v>
      </c>
      <c r="L236" t="s">
        <v>179</v>
      </c>
      <c r="M236" t="s">
        <v>62</v>
      </c>
      <c r="N236">
        <v>844</v>
      </c>
      <c r="O236">
        <v>1957.4</v>
      </c>
      <c r="P236">
        <f t="shared" si="0"/>
        <v>1652045.6</v>
      </c>
      <c r="Q236">
        <v>17</v>
      </c>
      <c r="R236">
        <v>29</v>
      </c>
      <c r="S236">
        <f t="shared" si="2"/>
        <v>12</v>
      </c>
      <c r="T236" t="str">
        <f t="shared" si="1"/>
        <v>No</v>
      </c>
      <c r="U236">
        <v>1338</v>
      </c>
      <c r="V236">
        <v>763</v>
      </c>
      <c r="W236">
        <v>815</v>
      </c>
      <c r="X236">
        <v>8</v>
      </c>
      <c r="Y236">
        <v>12</v>
      </c>
      <c r="Z236">
        <v>1557.9</v>
      </c>
      <c r="AA236">
        <v>6173</v>
      </c>
      <c r="AB236">
        <v>0.91</v>
      </c>
    </row>
    <row r="237" spans="1:28" x14ac:dyDescent="0.3">
      <c r="A237" t="s">
        <v>407</v>
      </c>
      <c r="B237">
        <v>45448</v>
      </c>
      <c r="C237" t="s">
        <v>87</v>
      </c>
      <c r="D237" t="s">
        <v>88</v>
      </c>
      <c r="E237" t="s">
        <v>89</v>
      </c>
      <c r="F237" t="s">
        <v>117</v>
      </c>
      <c r="G237" t="s">
        <v>240</v>
      </c>
      <c r="H237" t="s">
        <v>241</v>
      </c>
      <c r="I237" t="s">
        <v>126</v>
      </c>
      <c r="J237" t="s">
        <v>127</v>
      </c>
      <c r="K237" t="s">
        <v>97</v>
      </c>
      <c r="L237" t="s">
        <v>98</v>
      </c>
      <c r="M237" t="s">
        <v>51</v>
      </c>
      <c r="N237">
        <v>260</v>
      </c>
      <c r="O237">
        <v>7747.71</v>
      </c>
      <c r="P237">
        <f t="shared" si="0"/>
        <v>2014404.6</v>
      </c>
      <c r="Q237">
        <v>16</v>
      </c>
      <c r="R237">
        <v>20</v>
      </c>
      <c r="S237">
        <f t="shared" si="2"/>
        <v>4</v>
      </c>
      <c r="T237" t="str">
        <f t="shared" si="1"/>
        <v>No</v>
      </c>
      <c r="U237">
        <v>753</v>
      </c>
      <c r="V237">
        <v>368</v>
      </c>
      <c r="W237">
        <v>515</v>
      </c>
      <c r="X237">
        <v>18</v>
      </c>
      <c r="Y237">
        <v>25</v>
      </c>
      <c r="Z237">
        <v>5505.31</v>
      </c>
      <c r="AA237">
        <v>7987</v>
      </c>
      <c r="AB237">
        <v>0.9</v>
      </c>
    </row>
    <row r="238" spans="1:28" x14ac:dyDescent="0.3">
      <c r="A238" t="s">
        <v>408</v>
      </c>
      <c r="B238">
        <v>45450</v>
      </c>
      <c r="C238" t="s">
        <v>158</v>
      </c>
      <c r="D238" t="s">
        <v>159</v>
      </c>
      <c r="E238" t="s">
        <v>89</v>
      </c>
      <c r="F238" t="s">
        <v>55</v>
      </c>
      <c r="G238" t="s">
        <v>90</v>
      </c>
      <c r="H238" t="s">
        <v>91</v>
      </c>
      <c r="I238" t="s">
        <v>58</v>
      </c>
      <c r="J238" t="s">
        <v>92</v>
      </c>
      <c r="K238" t="s">
        <v>93</v>
      </c>
      <c r="L238" t="s">
        <v>94</v>
      </c>
      <c r="M238" t="s">
        <v>95</v>
      </c>
      <c r="N238">
        <v>410</v>
      </c>
      <c r="O238">
        <v>7116.94</v>
      </c>
      <c r="P238">
        <f t="shared" si="0"/>
        <v>2917945.4</v>
      </c>
      <c r="Q238">
        <v>29</v>
      </c>
      <c r="R238">
        <v>32</v>
      </c>
      <c r="S238">
        <f t="shared" si="2"/>
        <v>3</v>
      </c>
      <c r="T238" t="str">
        <f t="shared" si="1"/>
        <v>No</v>
      </c>
      <c r="U238">
        <v>2881</v>
      </c>
      <c r="V238">
        <v>338</v>
      </c>
      <c r="W238">
        <v>495</v>
      </c>
      <c r="X238">
        <v>15</v>
      </c>
      <c r="Y238">
        <v>20</v>
      </c>
      <c r="Z238">
        <v>4609.84</v>
      </c>
      <c r="AA238">
        <v>2502</v>
      </c>
      <c r="AB238">
        <v>0.72</v>
      </c>
    </row>
    <row r="239" spans="1:28" x14ac:dyDescent="0.3">
      <c r="A239" t="s">
        <v>409</v>
      </c>
      <c r="B239">
        <v>45453</v>
      </c>
      <c r="C239" t="s">
        <v>150</v>
      </c>
      <c r="D239" t="s">
        <v>151</v>
      </c>
      <c r="E239" t="s">
        <v>66</v>
      </c>
      <c r="F239" t="s">
        <v>44</v>
      </c>
      <c r="G239" t="s">
        <v>56</v>
      </c>
      <c r="H239" t="s">
        <v>57</v>
      </c>
      <c r="I239" t="s">
        <v>58</v>
      </c>
      <c r="J239" t="s">
        <v>59</v>
      </c>
      <c r="K239" t="s">
        <v>49</v>
      </c>
      <c r="L239" t="s">
        <v>50</v>
      </c>
      <c r="M239" t="s">
        <v>51</v>
      </c>
      <c r="N239">
        <v>229</v>
      </c>
      <c r="O239">
        <v>46.57</v>
      </c>
      <c r="P239">
        <f t="shared" si="0"/>
        <v>10664.53</v>
      </c>
      <c r="Q239">
        <v>28</v>
      </c>
      <c r="R239">
        <v>40</v>
      </c>
      <c r="S239">
        <f t="shared" si="2"/>
        <v>12</v>
      </c>
      <c r="T239" t="str">
        <f t="shared" si="1"/>
        <v>No</v>
      </c>
      <c r="U239">
        <v>1956</v>
      </c>
      <c r="V239">
        <v>135</v>
      </c>
      <c r="W239">
        <v>152</v>
      </c>
      <c r="X239">
        <v>1.5</v>
      </c>
      <c r="Y239">
        <v>2</v>
      </c>
      <c r="Z239">
        <v>31.73</v>
      </c>
      <c r="AA239">
        <v>1272</v>
      </c>
      <c r="AB239">
        <v>0.73</v>
      </c>
    </row>
    <row r="240" spans="1:28" x14ac:dyDescent="0.3">
      <c r="A240" t="s">
        <v>410</v>
      </c>
      <c r="B240">
        <v>45454</v>
      </c>
      <c r="C240" t="s">
        <v>74</v>
      </c>
      <c r="D240" t="s">
        <v>75</v>
      </c>
      <c r="E240" t="s">
        <v>76</v>
      </c>
      <c r="F240" t="s">
        <v>44</v>
      </c>
      <c r="G240" t="s">
        <v>67</v>
      </c>
      <c r="H240" t="s">
        <v>68</v>
      </c>
      <c r="I240" t="s">
        <v>58</v>
      </c>
      <c r="J240" t="s">
        <v>69</v>
      </c>
      <c r="K240" t="s">
        <v>80</v>
      </c>
      <c r="L240" t="s">
        <v>81</v>
      </c>
      <c r="M240" t="s">
        <v>40</v>
      </c>
      <c r="N240">
        <v>176</v>
      </c>
      <c r="O240">
        <v>319.44</v>
      </c>
      <c r="P240">
        <f t="shared" si="0"/>
        <v>56221.440000000002</v>
      </c>
      <c r="Q240">
        <v>24</v>
      </c>
      <c r="R240">
        <v>34</v>
      </c>
      <c r="S240">
        <f t="shared" si="2"/>
        <v>10</v>
      </c>
      <c r="T240" t="str">
        <f t="shared" si="1"/>
        <v>No</v>
      </c>
      <c r="U240">
        <v>1397</v>
      </c>
      <c r="V240">
        <v>159</v>
      </c>
      <c r="W240">
        <v>183</v>
      </c>
      <c r="X240">
        <v>2</v>
      </c>
      <c r="Y240">
        <v>4</v>
      </c>
      <c r="Z240">
        <v>222.96</v>
      </c>
      <c r="AA240">
        <v>5111</v>
      </c>
      <c r="AB240">
        <v>0.78</v>
      </c>
    </row>
    <row r="241" spans="1:28" x14ac:dyDescent="0.3">
      <c r="A241" t="s">
        <v>411</v>
      </c>
      <c r="B241">
        <v>45455</v>
      </c>
      <c r="C241" t="s">
        <v>223</v>
      </c>
      <c r="D241" t="s">
        <v>224</v>
      </c>
      <c r="E241" t="s">
        <v>32</v>
      </c>
      <c r="F241" t="s">
        <v>102</v>
      </c>
      <c r="G241" t="s">
        <v>164</v>
      </c>
      <c r="H241" t="s">
        <v>165</v>
      </c>
      <c r="I241" t="s">
        <v>47</v>
      </c>
      <c r="J241" t="s">
        <v>48</v>
      </c>
      <c r="K241" t="s">
        <v>49</v>
      </c>
      <c r="L241" t="s">
        <v>50</v>
      </c>
      <c r="M241" t="s">
        <v>51</v>
      </c>
      <c r="N241">
        <v>896</v>
      </c>
      <c r="O241">
        <v>1164.69</v>
      </c>
      <c r="P241">
        <f t="shared" si="0"/>
        <v>1043562.24</v>
      </c>
      <c r="Q241">
        <v>14</v>
      </c>
      <c r="R241">
        <v>16</v>
      </c>
      <c r="S241">
        <f t="shared" si="2"/>
        <v>2</v>
      </c>
      <c r="T241" t="str">
        <f t="shared" si="1"/>
        <v>No</v>
      </c>
      <c r="U241">
        <v>2285</v>
      </c>
      <c r="V241">
        <v>759</v>
      </c>
      <c r="W241">
        <v>803</v>
      </c>
      <c r="X241">
        <v>5</v>
      </c>
      <c r="Y241">
        <v>8</v>
      </c>
      <c r="Z241">
        <v>766.74</v>
      </c>
      <c r="AA241">
        <v>6926</v>
      </c>
      <c r="AB241">
        <v>0.79</v>
      </c>
    </row>
    <row r="242" spans="1:28" x14ac:dyDescent="0.3">
      <c r="A242" t="s">
        <v>412</v>
      </c>
      <c r="B242">
        <v>45458</v>
      </c>
      <c r="C242" t="s">
        <v>176</v>
      </c>
      <c r="D242" t="s">
        <v>177</v>
      </c>
      <c r="E242" t="s">
        <v>89</v>
      </c>
      <c r="F242" t="s">
        <v>33</v>
      </c>
      <c r="G242" t="s">
        <v>141</v>
      </c>
      <c r="H242" t="s">
        <v>142</v>
      </c>
      <c r="I242" t="s">
        <v>47</v>
      </c>
      <c r="J242" t="s">
        <v>48</v>
      </c>
      <c r="K242" t="s">
        <v>93</v>
      </c>
      <c r="L242" t="s">
        <v>94</v>
      </c>
      <c r="M242" t="s">
        <v>95</v>
      </c>
      <c r="N242">
        <v>687</v>
      </c>
      <c r="O242">
        <v>4542.9799999999996</v>
      </c>
      <c r="P242">
        <f t="shared" si="0"/>
        <v>3121027.26</v>
      </c>
      <c r="Q242">
        <v>20</v>
      </c>
      <c r="R242">
        <v>31</v>
      </c>
      <c r="S242">
        <f t="shared" si="2"/>
        <v>11</v>
      </c>
      <c r="T242" t="str">
        <f t="shared" si="1"/>
        <v>No</v>
      </c>
      <c r="U242">
        <v>2790</v>
      </c>
      <c r="V242">
        <v>734</v>
      </c>
      <c r="W242">
        <v>663</v>
      </c>
      <c r="X242">
        <v>12</v>
      </c>
      <c r="Y242">
        <v>18</v>
      </c>
      <c r="Z242">
        <v>3476.69</v>
      </c>
      <c r="AA242">
        <v>7807</v>
      </c>
      <c r="AB242">
        <v>0.98</v>
      </c>
    </row>
    <row r="243" spans="1:28" x14ac:dyDescent="0.3">
      <c r="A243" t="s">
        <v>413</v>
      </c>
      <c r="B243">
        <v>45458</v>
      </c>
      <c r="C243" t="s">
        <v>106</v>
      </c>
      <c r="D243" t="s">
        <v>107</v>
      </c>
      <c r="E243" t="s">
        <v>76</v>
      </c>
      <c r="F243" t="s">
        <v>117</v>
      </c>
      <c r="G243" t="s">
        <v>192</v>
      </c>
      <c r="H243" t="s">
        <v>193</v>
      </c>
      <c r="I243" t="s">
        <v>47</v>
      </c>
      <c r="J243" t="s">
        <v>79</v>
      </c>
      <c r="K243" t="s">
        <v>80</v>
      </c>
      <c r="L243" t="s">
        <v>81</v>
      </c>
      <c r="M243" t="s">
        <v>40</v>
      </c>
      <c r="N243">
        <v>846</v>
      </c>
      <c r="O243">
        <v>2046.33</v>
      </c>
      <c r="P243">
        <f t="shared" si="0"/>
        <v>1731195.18</v>
      </c>
      <c r="Q243">
        <v>18</v>
      </c>
      <c r="R243">
        <v>25</v>
      </c>
      <c r="S243">
        <f t="shared" si="2"/>
        <v>7</v>
      </c>
      <c r="T243" t="str">
        <f t="shared" si="1"/>
        <v>No</v>
      </c>
      <c r="U243">
        <v>310</v>
      </c>
      <c r="V243">
        <v>486</v>
      </c>
      <c r="W243">
        <v>419</v>
      </c>
      <c r="X243">
        <v>7</v>
      </c>
      <c r="Y243">
        <v>10</v>
      </c>
      <c r="Z243">
        <v>1557.65</v>
      </c>
      <c r="AA243">
        <v>1345</v>
      </c>
      <c r="AB243">
        <v>0.79</v>
      </c>
    </row>
    <row r="244" spans="1:28" x14ac:dyDescent="0.3">
      <c r="A244" t="s">
        <v>414</v>
      </c>
      <c r="B244">
        <v>45458</v>
      </c>
      <c r="C244" t="s">
        <v>210</v>
      </c>
      <c r="D244" t="s">
        <v>211</v>
      </c>
      <c r="E244" t="s">
        <v>66</v>
      </c>
      <c r="F244" t="s">
        <v>117</v>
      </c>
      <c r="G244" t="s">
        <v>134</v>
      </c>
      <c r="H244" t="s">
        <v>135</v>
      </c>
      <c r="I244" t="s">
        <v>58</v>
      </c>
      <c r="J244" t="s">
        <v>59</v>
      </c>
      <c r="K244" t="s">
        <v>49</v>
      </c>
      <c r="L244" t="s">
        <v>50</v>
      </c>
      <c r="M244" t="s">
        <v>51</v>
      </c>
      <c r="N244">
        <v>90</v>
      </c>
      <c r="O244">
        <v>28.21</v>
      </c>
      <c r="P244">
        <f t="shared" si="0"/>
        <v>2538.9</v>
      </c>
      <c r="Q244">
        <v>10</v>
      </c>
      <c r="R244">
        <v>17</v>
      </c>
      <c r="S244">
        <f t="shared" si="2"/>
        <v>7</v>
      </c>
      <c r="T244" t="str">
        <f t="shared" si="1"/>
        <v>No</v>
      </c>
      <c r="U244">
        <v>1335</v>
      </c>
      <c r="V244">
        <v>38</v>
      </c>
      <c r="W244">
        <v>39</v>
      </c>
      <c r="X244">
        <v>1.2</v>
      </c>
      <c r="Y244">
        <v>2</v>
      </c>
      <c r="Z244">
        <v>18.600000000000001</v>
      </c>
      <c r="AA244">
        <v>4152</v>
      </c>
      <c r="AB244">
        <v>0.87</v>
      </c>
    </row>
    <row r="245" spans="1:28" x14ac:dyDescent="0.3">
      <c r="A245" t="s">
        <v>415</v>
      </c>
      <c r="B245">
        <v>45458</v>
      </c>
      <c r="C245" t="s">
        <v>158</v>
      </c>
      <c r="D245" t="s">
        <v>159</v>
      </c>
      <c r="E245" t="s">
        <v>89</v>
      </c>
      <c r="F245" t="s">
        <v>33</v>
      </c>
      <c r="G245" t="s">
        <v>77</v>
      </c>
      <c r="H245" t="s">
        <v>78</v>
      </c>
      <c r="I245" t="s">
        <v>47</v>
      </c>
      <c r="J245" t="s">
        <v>79</v>
      </c>
      <c r="K245" t="s">
        <v>178</v>
      </c>
      <c r="L245" t="s">
        <v>179</v>
      </c>
      <c r="M245" t="s">
        <v>62</v>
      </c>
      <c r="N245">
        <v>499</v>
      </c>
      <c r="O245">
        <v>7013.31</v>
      </c>
      <c r="P245">
        <f t="shared" si="0"/>
        <v>3499641.6900000004</v>
      </c>
      <c r="Q245">
        <v>15</v>
      </c>
      <c r="R245">
        <v>22</v>
      </c>
      <c r="S245">
        <f t="shared" si="2"/>
        <v>7</v>
      </c>
      <c r="T245" t="str">
        <f t="shared" si="1"/>
        <v>No</v>
      </c>
      <c r="U245">
        <v>2203</v>
      </c>
      <c r="V245">
        <v>354</v>
      </c>
      <c r="W245">
        <v>370</v>
      </c>
      <c r="X245">
        <v>15</v>
      </c>
      <c r="Y245">
        <v>20</v>
      </c>
      <c r="Z245">
        <v>5290.83</v>
      </c>
      <c r="AA245">
        <v>6405</v>
      </c>
      <c r="AB245">
        <v>0.89</v>
      </c>
    </row>
    <row r="246" spans="1:28" x14ac:dyDescent="0.3">
      <c r="A246" t="s">
        <v>416</v>
      </c>
      <c r="B246">
        <v>45462</v>
      </c>
      <c r="C246" t="s">
        <v>176</v>
      </c>
      <c r="D246" t="s">
        <v>177</v>
      </c>
      <c r="E246" t="s">
        <v>89</v>
      </c>
      <c r="F246" t="s">
        <v>44</v>
      </c>
      <c r="G246" t="s">
        <v>119</v>
      </c>
      <c r="H246" t="s">
        <v>120</v>
      </c>
      <c r="I246" t="s">
        <v>58</v>
      </c>
      <c r="J246" t="s">
        <v>59</v>
      </c>
      <c r="K246" t="s">
        <v>93</v>
      </c>
      <c r="L246" t="s">
        <v>94</v>
      </c>
      <c r="M246" t="s">
        <v>95</v>
      </c>
      <c r="N246">
        <v>139</v>
      </c>
      <c r="O246">
        <v>4567.2700000000004</v>
      </c>
      <c r="P246">
        <f t="shared" si="0"/>
        <v>634850.53</v>
      </c>
      <c r="Q246">
        <v>13</v>
      </c>
      <c r="R246">
        <v>12</v>
      </c>
      <c r="S246">
        <f t="shared" si="2"/>
        <v>0</v>
      </c>
      <c r="T246" t="str">
        <f t="shared" si="1"/>
        <v>Yes</v>
      </c>
      <c r="U246">
        <v>1392</v>
      </c>
      <c r="V246">
        <v>176</v>
      </c>
      <c r="W246">
        <v>174</v>
      </c>
      <c r="X246">
        <v>12</v>
      </c>
      <c r="Y246">
        <v>18</v>
      </c>
      <c r="Z246">
        <v>2798.7</v>
      </c>
      <c r="AA246">
        <v>6335</v>
      </c>
      <c r="AB246">
        <v>0.97</v>
      </c>
    </row>
    <row r="247" spans="1:28" x14ac:dyDescent="0.3">
      <c r="A247" t="s">
        <v>417</v>
      </c>
      <c r="B247">
        <v>45464</v>
      </c>
      <c r="C247" t="s">
        <v>114</v>
      </c>
      <c r="D247" t="s">
        <v>115</v>
      </c>
      <c r="E247" t="s">
        <v>116</v>
      </c>
      <c r="F247" t="s">
        <v>102</v>
      </c>
      <c r="G247" t="s">
        <v>103</v>
      </c>
      <c r="H247" t="s">
        <v>104</v>
      </c>
      <c r="I247" t="s">
        <v>47</v>
      </c>
      <c r="J247" t="s">
        <v>79</v>
      </c>
      <c r="K247" t="s">
        <v>60</v>
      </c>
      <c r="L247" t="s">
        <v>61</v>
      </c>
      <c r="M247" t="s">
        <v>62</v>
      </c>
      <c r="N247">
        <v>317</v>
      </c>
      <c r="O247">
        <v>3181.17</v>
      </c>
      <c r="P247">
        <f t="shared" si="0"/>
        <v>1008430.89</v>
      </c>
      <c r="Q247">
        <v>29</v>
      </c>
      <c r="R247">
        <v>39</v>
      </c>
      <c r="S247">
        <f t="shared" si="2"/>
        <v>10</v>
      </c>
      <c r="T247" t="str">
        <f t="shared" si="1"/>
        <v>No</v>
      </c>
      <c r="U247">
        <v>1007</v>
      </c>
      <c r="V247">
        <v>418</v>
      </c>
      <c r="W247">
        <v>422</v>
      </c>
      <c r="X247">
        <v>11</v>
      </c>
      <c r="Y247">
        <v>15</v>
      </c>
      <c r="Z247">
        <v>2358.89</v>
      </c>
      <c r="AA247">
        <v>7100</v>
      </c>
      <c r="AB247">
        <v>0.83</v>
      </c>
    </row>
    <row r="248" spans="1:28" x14ac:dyDescent="0.3">
      <c r="A248" t="s">
        <v>418</v>
      </c>
      <c r="B248">
        <v>45466</v>
      </c>
      <c r="C248" t="s">
        <v>170</v>
      </c>
      <c r="D248" t="s">
        <v>171</v>
      </c>
      <c r="E248" t="s">
        <v>116</v>
      </c>
      <c r="F248" t="s">
        <v>117</v>
      </c>
      <c r="G248" t="s">
        <v>201</v>
      </c>
      <c r="H248" t="s">
        <v>202</v>
      </c>
      <c r="I248" t="s">
        <v>203</v>
      </c>
      <c r="J248" t="s">
        <v>127</v>
      </c>
      <c r="K248" t="s">
        <v>80</v>
      </c>
      <c r="L248" t="s">
        <v>81</v>
      </c>
      <c r="M248" t="s">
        <v>40</v>
      </c>
      <c r="N248">
        <v>623</v>
      </c>
      <c r="O248">
        <v>1690.34</v>
      </c>
      <c r="P248">
        <f t="shared" si="0"/>
        <v>1053081.82</v>
      </c>
      <c r="Q248">
        <v>11</v>
      </c>
      <c r="R248">
        <v>15</v>
      </c>
      <c r="S248">
        <f t="shared" si="2"/>
        <v>4</v>
      </c>
      <c r="T248" t="str">
        <f t="shared" si="1"/>
        <v>No</v>
      </c>
      <c r="U248">
        <v>582</v>
      </c>
      <c r="V248">
        <v>758</v>
      </c>
      <c r="W248">
        <v>759</v>
      </c>
      <c r="X248">
        <v>7</v>
      </c>
      <c r="Y248">
        <v>10</v>
      </c>
      <c r="Z248">
        <v>1054.76</v>
      </c>
      <c r="AA248">
        <v>4574</v>
      </c>
      <c r="AB248">
        <v>0.91</v>
      </c>
    </row>
    <row r="249" spans="1:28" x14ac:dyDescent="0.3">
      <c r="A249" t="s">
        <v>419</v>
      </c>
      <c r="B249">
        <v>45470</v>
      </c>
      <c r="C249" t="s">
        <v>42</v>
      </c>
      <c r="D249" t="s">
        <v>43</v>
      </c>
      <c r="E249" t="s">
        <v>32</v>
      </c>
      <c r="F249" t="s">
        <v>102</v>
      </c>
      <c r="G249" t="s">
        <v>134</v>
      </c>
      <c r="H249" t="s">
        <v>135</v>
      </c>
      <c r="I249" t="s">
        <v>58</v>
      </c>
      <c r="J249" t="s">
        <v>59</v>
      </c>
      <c r="K249" t="s">
        <v>38</v>
      </c>
      <c r="L249" t="s">
        <v>39</v>
      </c>
      <c r="M249" t="s">
        <v>40</v>
      </c>
      <c r="N249">
        <v>348</v>
      </c>
      <c r="O249">
        <v>642.16999999999996</v>
      </c>
      <c r="P249">
        <f t="shared" si="0"/>
        <v>223475.15999999997</v>
      </c>
      <c r="Q249">
        <v>19</v>
      </c>
      <c r="R249">
        <v>24</v>
      </c>
      <c r="S249">
        <f t="shared" si="2"/>
        <v>5</v>
      </c>
      <c r="T249" t="str">
        <f t="shared" si="1"/>
        <v>No</v>
      </c>
      <c r="U249">
        <v>1049</v>
      </c>
      <c r="V249">
        <v>200</v>
      </c>
      <c r="W249">
        <v>260</v>
      </c>
      <c r="X249">
        <v>3.5</v>
      </c>
      <c r="Y249">
        <v>5</v>
      </c>
      <c r="Z249">
        <v>425.83</v>
      </c>
      <c r="AA249">
        <v>6585</v>
      </c>
      <c r="AB249">
        <v>0.85</v>
      </c>
    </row>
    <row r="250" spans="1:28" x14ac:dyDescent="0.3">
      <c r="A250" t="s">
        <v>420</v>
      </c>
      <c r="B250">
        <v>45473</v>
      </c>
      <c r="C250" t="s">
        <v>53</v>
      </c>
      <c r="D250" t="s">
        <v>54</v>
      </c>
      <c r="E250" t="s">
        <v>32</v>
      </c>
      <c r="F250" t="s">
        <v>33</v>
      </c>
      <c r="G250" t="s">
        <v>129</v>
      </c>
      <c r="H250" t="s">
        <v>130</v>
      </c>
      <c r="I250" t="s">
        <v>47</v>
      </c>
      <c r="J250" t="s">
        <v>79</v>
      </c>
      <c r="K250" t="s">
        <v>60</v>
      </c>
      <c r="L250" t="s">
        <v>61</v>
      </c>
      <c r="M250" t="s">
        <v>62</v>
      </c>
      <c r="N250">
        <v>616</v>
      </c>
      <c r="O250">
        <v>510.93</v>
      </c>
      <c r="P250">
        <f t="shared" si="0"/>
        <v>314732.88</v>
      </c>
      <c r="Q250">
        <v>9</v>
      </c>
      <c r="R250">
        <v>19</v>
      </c>
      <c r="S250">
        <f t="shared" si="2"/>
        <v>10</v>
      </c>
      <c r="T250" t="str">
        <f t="shared" si="1"/>
        <v>No</v>
      </c>
      <c r="U250">
        <v>2577</v>
      </c>
      <c r="V250">
        <v>717</v>
      </c>
      <c r="W250">
        <v>877</v>
      </c>
      <c r="X250">
        <v>3</v>
      </c>
      <c r="Y250">
        <v>5</v>
      </c>
      <c r="Z250">
        <v>392.65</v>
      </c>
      <c r="AA250">
        <v>5117</v>
      </c>
      <c r="AB250">
        <v>0.71</v>
      </c>
    </row>
    <row r="251" spans="1:28" x14ac:dyDescent="0.3">
      <c r="A251" t="s">
        <v>421</v>
      </c>
      <c r="B251">
        <v>45479</v>
      </c>
      <c r="C251" t="s">
        <v>42</v>
      </c>
      <c r="D251" t="s">
        <v>43</v>
      </c>
      <c r="E251" t="s">
        <v>32</v>
      </c>
      <c r="F251" t="s">
        <v>33</v>
      </c>
      <c r="G251" t="s">
        <v>147</v>
      </c>
      <c r="H251" t="s">
        <v>148</v>
      </c>
      <c r="I251" t="s">
        <v>58</v>
      </c>
      <c r="J251" t="s">
        <v>59</v>
      </c>
      <c r="K251" t="s">
        <v>93</v>
      </c>
      <c r="L251" t="s">
        <v>94</v>
      </c>
      <c r="M251" t="s">
        <v>95</v>
      </c>
      <c r="N251">
        <v>860</v>
      </c>
      <c r="O251">
        <v>611.74</v>
      </c>
      <c r="P251">
        <f t="shared" si="0"/>
        <v>526096.4</v>
      </c>
      <c r="Q251">
        <v>20</v>
      </c>
      <c r="R251">
        <v>22</v>
      </c>
      <c r="S251">
        <f t="shared" si="2"/>
        <v>2</v>
      </c>
      <c r="T251" t="str">
        <f t="shared" si="1"/>
        <v>No</v>
      </c>
      <c r="U251">
        <v>1407</v>
      </c>
      <c r="V251">
        <v>1087</v>
      </c>
      <c r="W251">
        <v>1225</v>
      </c>
      <c r="X251">
        <v>3.5</v>
      </c>
      <c r="Y251">
        <v>5</v>
      </c>
      <c r="Z251">
        <v>376.26</v>
      </c>
      <c r="AA251">
        <v>6678</v>
      </c>
      <c r="AB251">
        <v>0.97</v>
      </c>
    </row>
    <row r="252" spans="1:28" x14ac:dyDescent="0.3">
      <c r="A252" t="s">
        <v>422</v>
      </c>
      <c r="B252">
        <v>45480</v>
      </c>
      <c r="C252" t="s">
        <v>87</v>
      </c>
      <c r="D252" t="s">
        <v>88</v>
      </c>
      <c r="E252" t="s">
        <v>89</v>
      </c>
      <c r="F252" t="s">
        <v>117</v>
      </c>
      <c r="G252" t="s">
        <v>67</v>
      </c>
      <c r="H252" t="s">
        <v>68</v>
      </c>
      <c r="I252" t="s">
        <v>58</v>
      </c>
      <c r="J252" t="s">
        <v>69</v>
      </c>
      <c r="K252" t="s">
        <v>97</v>
      </c>
      <c r="L252" t="s">
        <v>98</v>
      </c>
      <c r="M252" t="s">
        <v>51</v>
      </c>
      <c r="N252">
        <v>180</v>
      </c>
      <c r="O252">
        <v>8513.6299999999992</v>
      </c>
      <c r="P252">
        <f t="shared" si="0"/>
        <v>1532453.4</v>
      </c>
      <c r="Q252">
        <v>20</v>
      </c>
      <c r="R252">
        <v>21</v>
      </c>
      <c r="S252">
        <f t="shared" si="2"/>
        <v>1</v>
      </c>
      <c r="T252" t="str">
        <f t="shared" si="1"/>
        <v>No</v>
      </c>
      <c r="U252">
        <v>1662</v>
      </c>
      <c r="V252">
        <v>248</v>
      </c>
      <c r="W252">
        <v>226</v>
      </c>
      <c r="X252">
        <v>18</v>
      </c>
      <c r="Y252">
        <v>25</v>
      </c>
      <c r="Z252">
        <v>5111.8500000000004</v>
      </c>
      <c r="AA252">
        <v>3698</v>
      </c>
      <c r="AB252">
        <v>0.77</v>
      </c>
    </row>
    <row r="253" spans="1:28" x14ac:dyDescent="0.3">
      <c r="A253" t="s">
        <v>423</v>
      </c>
      <c r="B253">
        <v>45481</v>
      </c>
      <c r="C253" t="s">
        <v>223</v>
      </c>
      <c r="D253" t="s">
        <v>224</v>
      </c>
      <c r="E253" t="s">
        <v>32</v>
      </c>
      <c r="F253" t="s">
        <v>33</v>
      </c>
      <c r="G253" t="s">
        <v>164</v>
      </c>
      <c r="H253" t="s">
        <v>165</v>
      </c>
      <c r="I253" t="s">
        <v>47</v>
      </c>
      <c r="J253" t="s">
        <v>48</v>
      </c>
      <c r="K253" t="s">
        <v>60</v>
      </c>
      <c r="L253" t="s">
        <v>61</v>
      </c>
      <c r="M253" t="s">
        <v>62</v>
      </c>
      <c r="N253">
        <v>656</v>
      </c>
      <c r="O253">
        <v>1285.32</v>
      </c>
      <c r="P253">
        <f t="shared" si="0"/>
        <v>843169.91999999993</v>
      </c>
      <c r="Q253">
        <v>14</v>
      </c>
      <c r="R253">
        <v>15</v>
      </c>
      <c r="S253">
        <f t="shared" si="2"/>
        <v>1</v>
      </c>
      <c r="T253" t="str">
        <f t="shared" si="1"/>
        <v>No</v>
      </c>
      <c r="U253">
        <v>390</v>
      </c>
      <c r="V253">
        <v>538</v>
      </c>
      <c r="W253">
        <v>467</v>
      </c>
      <c r="X253">
        <v>5</v>
      </c>
      <c r="Y253">
        <v>8</v>
      </c>
      <c r="Z253">
        <v>934.11</v>
      </c>
      <c r="AA253">
        <v>7648</v>
      </c>
      <c r="AB253">
        <v>0.73</v>
      </c>
    </row>
    <row r="254" spans="1:28" x14ac:dyDescent="0.3">
      <c r="A254" t="s">
        <v>424</v>
      </c>
      <c r="B254">
        <v>45482</v>
      </c>
      <c r="C254" t="s">
        <v>106</v>
      </c>
      <c r="D254" t="s">
        <v>107</v>
      </c>
      <c r="E254" t="s">
        <v>76</v>
      </c>
      <c r="F254" t="s">
        <v>102</v>
      </c>
      <c r="G254" t="s">
        <v>218</v>
      </c>
      <c r="H254" t="s">
        <v>219</v>
      </c>
      <c r="I254" t="s">
        <v>58</v>
      </c>
      <c r="J254" t="s">
        <v>59</v>
      </c>
      <c r="K254" t="s">
        <v>70</v>
      </c>
      <c r="L254" t="s">
        <v>71</v>
      </c>
      <c r="M254" t="s">
        <v>72</v>
      </c>
      <c r="N254">
        <v>540</v>
      </c>
      <c r="O254">
        <v>2178.98</v>
      </c>
      <c r="P254">
        <f t="shared" si="0"/>
        <v>1176649.2</v>
      </c>
      <c r="Q254">
        <v>29</v>
      </c>
      <c r="R254">
        <v>34</v>
      </c>
      <c r="S254">
        <f t="shared" si="2"/>
        <v>5</v>
      </c>
      <c r="T254" t="str">
        <f t="shared" si="1"/>
        <v>No</v>
      </c>
      <c r="U254">
        <v>2581</v>
      </c>
      <c r="V254">
        <v>448</v>
      </c>
      <c r="W254">
        <v>374</v>
      </c>
      <c r="X254">
        <v>7</v>
      </c>
      <c r="Y254">
        <v>10</v>
      </c>
      <c r="Z254">
        <v>1423.77</v>
      </c>
      <c r="AA254">
        <v>1573</v>
      </c>
      <c r="AB254">
        <v>0.96</v>
      </c>
    </row>
    <row r="255" spans="1:28" x14ac:dyDescent="0.3">
      <c r="A255" t="s">
        <v>425</v>
      </c>
      <c r="B255">
        <v>45483</v>
      </c>
      <c r="C255" t="s">
        <v>87</v>
      </c>
      <c r="D255" t="s">
        <v>88</v>
      </c>
      <c r="E255" t="s">
        <v>89</v>
      </c>
      <c r="F255" t="s">
        <v>102</v>
      </c>
      <c r="G255" t="s">
        <v>160</v>
      </c>
      <c r="H255" t="s">
        <v>161</v>
      </c>
      <c r="I255" t="s">
        <v>47</v>
      </c>
      <c r="J255" t="s">
        <v>79</v>
      </c>
      <c r="K255" t="s">
        <v>178</v>
      </c>
      <c r="L255" t="s">
        <v>179</v>
      </c>
      <c r="M255" t="s">
        <v>62</v>
      </c>
      <c r="N255">
        <v>377</v>
      </c>
      <c r="O255">
        <v>8669.33</v>
      </c>
      <c r="P255">
        <f t="shared" si="0"/>
        <v>3268337.41</v>
      </c>
      <c r="Q255">
        <v>30</v>
      </c>
      <c r="R255">
        <v>35</v>
      </c>
      <c r="S255">
        <f t="shared" si="2"/>
        <v>5</v>
      </c>
      <c r="T255" t="str">
        <f t="shared" si="1"/>
        <v>No</v>
      </c>
      <c r="U255">
        <v>1429</v>
      </c>
      <c r="V255">
        <v>525</v>
      </c>
      <c r="W255">
        <v>604</v>
      </c>
      <c r="X255">
        <v>18</v>
      </c>
      <c r="Y255">
        <v>25</v>
      </c>
      <c r="Z255">
        <v>5875</v>
      </c>
      <c r="AA255">
        <v>1973</v>
      </c>
      <c r="AB255">
        <v>0.71</v>
      </c>
    </row>
    <row r="256" spans="1:28" x14ac:dyDescent="0.3">
      <c r="A256" t="s">
        <v>426</v>
      </c>
      <c r="B256">
        <v>45495</v>
      </c>
      <c r="C256" t="s">
        <v>150</v>
      </c>
      <c r="D256" t="s">
        <v>151</v>
      </c>
      <c r="E256" t="s">
        <v>66</v>
      </c>
      <c r="F256" t="s">
        <v>102</v>
      </c>
      <c r="G256" t="s">
        <v>129</v>
      </c>
      <c r="H256" t="s">
        <v>130</v>
      </c>
      <c r="I256" t="s">
        <v>47</v>
      </c>
      <c r="J256" t="s">
        <v>79</v>
      </c>
      <c r="K256" t="s">
        <v>49</v>
      </c>
      <c r="L256" t="s">
        <v>50</v>
      </c>
      <c r="M256" t="s">
        <v>51</v>
      </c>
      <c r="N256">
        <v>468</v>
      </c>
      <c r="O256">
        <v>49.42</v>
      </c>
      <c r="P256">
        <f t="shared" si="0"/>
        <v>23128.560000000001</v>
      </c>
      <c r="Q256">
        <v>7</v>
      </c>
      <c r="R256">
        <v>9</v>
      </c>
      <c r="S256">
        <f t="shared" si="2"/>
        <v>2</v>
      </c>
      <c r="T256" t="str">
        <f t="shared" si="1"/>
        <v>No</v>
      </c>
      <c r="U256">
        <v>927</v>
      </c>
      <c r="V256">
        <v>367</v>
      </c>
      <c r="W256">
        <v>356</v>
      </c>
      <c r="X256">
        <v>1.5</v>
      </c>
      <c r="Y256">
        <v>2</v>
      </c>
      <c r="Z256">
        <v>36.21</v>
      </c>
      <c r="AA256">
        <v>3523</v>
      </c>
      <c r="AB256">
        <v>0.83</v>
      </c>
    </row>
    <row r="257" spans="1:28" x14ac:dyDescent="0.3">
      <c r="A257" t="s">
        <v>427</v>
      </c>
      <c r="B257">
        <v>45498</v>
      </c>
      <c r="C257" t="s">
        <v>42</v>
      </c>
      <c r="D257" t="s">
        <v>43</v>
      </c>
      <c r="E257" t="s">
        <v>32</v>
      </c>
      <c r="F257" t="s">
        <v>55</v>
      </c>
      <c r="G257" t="s">
        <v>225</v>
      </c>
      <c r="H257" t="s">
        <v>226</v>
      </c>
      <c r="I257" t="s">
        <v>36</v>
      </c>
      <c r="J257" t="s">
        <v>37</v>
      </c>
      <c r="K257" t="s">
        <v>38</v>
      </c>
      <c r="L257" t="s">
        <v>39</v>
      </c>
      <c r="M257" t="s">
        <v>40</v>
      </c>
      <c r="N257">
        <v>531</v>
      </c>
      <c r="O257">
        <v>650.23</v>
      </c>
      <c r="P257">
        <f t="shared" si="0"/>
        <v>345272.13</v>
      </c>
      <c r="Q257">
        <v>6</v>
      </c>
      <c r="R257">
        <v>4</v>
      </c>
      <c r="S257">
        <f t="shared" si="2"/>
        <v>0</v>
      </c>
      <c r="T257" t="str">
        <f t="shared" si="1"/>
        <v>Yes</v>
      </c>
      <c r="U257">
        <v>179</v>
      </c>
      <c r="V257">
        <v>246</v>
      </c>
      <c r="W257">
        <v>254</v>
      </c>
      <c r="X257">
        <v>3.5</v>
      </c>
      <c r="Y257">
        <v>5</v>
      </c>
      <c r="Z257">
        <v>451.74</v>
      </c>
      <c r="AA257">
        <v>4243</v>
      </c>
      <c r="AB257">
        <v>0.74</v>
      </c>
    </row>
    <row r="258" spans="1:28" x14ac:dyDescent="0.3">
      <c r="A258" t="s">
        <v>428</v>
      </c>
      <c r="B258">
        <v>45502</v>
      </c>
      <c r="C258" t="s">
        <v>176</v>
      </c>
      <c r="D258" t="s">
        <v>177</v>
      </c>
      <c r="E258" t="s">
        <v>89</v>
      </c>
      <c r="F258" t="s">
        <v>102</v>
      </c>
      <c r="G258" t="s">
        <v>103</v>
      </c>
      <c r="H258" t="s">
        <v>104</v>
      </c>
      <c r="I258" t="s">
        <v>47</v>
      </c>
      <c r="J258" t="s">
        <v>79</v>
      </c>
      <c r="K258" t="s">
        <v>178</v>
      </c>
      <c r="L258" t="s">
        <v>179</v>
      </c>
      <c r="M258" t="s">
        <v>62</v>
      </c>
      <c r="N258">
        <v>513</v>
      </c>
      <c r="O258">
        <v>4216.41</v>
      </c>
      <c r="P258">
        <f t="shared" ref="P258:P322" si="3">N258*O258</f>
        <v>2163018.33</v>
      </c>
      <c r="Q258">
        <v>19</v>
      </c>
      <c r="R258">
        <v>24</v>
      </c>
      <c r="S258">
        <f t="shared" si="2"/>
        <v>5</v>
      </c>
      <c r="T258" t="str">
        <f t="shared" ref="T258:T322" si="4">IF(S258=0,"Yes","No")</f>
        <v>No</v>
      </c>
      <c r="U258">
        <v>705</v>
      </c>
      <c r="V258">
        <v>204</v>
      </c>
      <c r="W258">
        <v>167</v>
      </c>
      <c r="X258">
        <v>12</v>
      </c>
      <c r="Y258">
        <v>18</v>
      </c>
      <c r="Z258">
        <v>3171.63</v>
      </c>
      <c r="AA258">
        <v>2892</v>
      </c>
      <c r="AB258">
        <v>0.71</v>
      </c>
    </row>
    <row r="259" spans="1:28" x14ac:dyDescent="0.3">
      <c r="A259" t="s">
        <v>429</v>
      </c>
      <c r="B259">
        <v>45502</v>
      </c>
      <c r="C259" t="s">
        <v>195</v>
      </c>
      <c r="D259" t="s">
        <v>196</v>
      </c>
      <c r="E259" t="s">
        <v>116</v>
      </c>
      <c r="F259" t="s">
        <v>33</v>
      </c>
      <c r="G259" t="s">
        <v>155</v>
      </c>
      <c r="H259" t="s">
        <v>156</v>
      </c>
      <c r="I259" t="s">
        <v>58</v>
      </c>
      <c r="J259" t="s">
        <v>92</v>
      </c>
      <c r="K259" t="s">
        <v>38</v>
      </c>
      <c r="L259" t="s">
        <v>39</v>
      </c>
      <c r="M259" t="s">
        <v>40</v>
      </c>
      <c r="N259">
        <v>737</v>
      </c>
      <c r="O259">
        <v>954.15</v>
      </c>
      <c r="P259">
        <f t="shared" si="3"/>
        <v>703208.54999999993</v>
      </c>
      <c r="Q259">
        <v>28</v>
      </c>
      <c r="R259">
        <v>34</v>
      </c>
      <c r="S259">
        <f t="shared" ref="S259:S322" si="5">MAX(0,R259-Q259)</f>
        <v>6</v>
      </c>
      <c r="T259" t="str">
        <f t="shared" si="4"/>
        <v>No</v>
      </c>
      <c r="U259">
        <v>1191</v>
      </c>
      <c r="V259">
        <v>997</v>
      </c>
      <c r="W259">
        <v>1092</v>
      </c>
      <c r="X259">
        <v>4</v>
      </c>
      <c r="Y259">
        <v>6</v>
      </c>
      <c r="Z259">
        <v>574.92999999999995</v>
      </c>
      <c r="AA259">
        <v>1372</v>
      </c>
      <c r="AB259">
        <v>0.71</v>
      </c>
    </row>
    <row r="260" spans="1:28" x14ac:dyDescent="0.3">
      <c r="A260" t="s">
        <v>430</v>
      </c>
      <c r="B260">
        <v>45503</v>
      </c>
      <c r="C260" t="s">
        <v>170</v>
      </c>
      <c r="D260" t="s">
        <v>171</v>
      </c>
      <c r="E260" t="s">
        <v>116</v>
      </c>
      <c r="F260" t="s">
        <v>117</v>
      </c>
      <c r="G260" t="s">
        <v>201</v>
      </c>
      <c r="H260" t="s">
        <v>202</v>
      </c>
      <c r="I260" t="s">
        <v>203</v>
      </c>
      <c r="J260" t="s">
        <v>127</v>
      </c>
      <c r="K260" t="s">
        <v>60</v>
      </c>
      <c r="L260" t="s">
        <v>61</v>
      </c>
      <c r="M260" t="s">
        <v>62</v>
      </c>
      <c r="N260">
        <v>581</v>
      </c>
      <c r="O260">
        <v>2018.56</v>
      </c>
      <c r="P260">
        <f t="shared" si="3"/>
        <v>1172783.3599999999</v>
      </c>
      <c r="Q260">
        <v>24</v>
      </c>
      <c r="R260">
        <v>31</v>
      </c>
      <c r="S260">
        <f t="shared" si="5"/>
        <v>7</v>
      </c>
      <c r="T260" t="str">
        <f t="shared" si="4"/>
        <v>No</v>
      </c>
      <c r="U260">
        <v>2553</v>
      </c>
      <c r="V260">
        <v>331</v>
      </c>
      <c r="W260">
        <v>385</v>
      </c>
      <c r="X260">
        <v>7</v>
      </c>
      <c r="Y260">
        <v>10</v>
      </c>
      <c r="Z260">
        <v>1393.01</v>
      </c>
      <c r="AA260">
        <v>4126</v>
      </c>
      <c r="AB260">
        <v>0.78</v>
      </c>
    </row>
    <row r="261" spans="1:28" x14ac:dyDescent="0.3">
      <c r="A261" t="s">
        <v>431</v>
      </c>
      <c r="B261">
        <v>45505</v>
      </c>
      <c r="C261" t="s">
        <v>144</v>
      </c>
      <c r="D261" t="s">
        <v>145</v>
      </c>
      <c r="E261" t="s">
        <v>76</v>
      </c>
      <c r="F261" t="s">
        <v>44</v>
      </c>
      <c r="G261" t="s">
        <v>240</v>
      </c>
      <c r="H261" t="s">
        <v>241</v>
      </c>
      <c r="I261" t="s">
        <v>126</v>
      </c>
      <c r="J261" t="s">
        <v>127</v>
      </c>
      <c r="K261" t="s">
        <v>80</v>
      </c>
      <c r="L261" t="s">
        <v>81</v>
      </c>
      <c r="M261" t="s">
        <v>40</v>
      </c>
      <c r="N261">
        <v>164</v>
      </c>
      <c r="O261">
        <v>181.79</v>
      </c>
      <c r="P261">
        <f t="shared" si="3"/>
        <v>29813.559999999998</v>
      </c>
      <c r="Q261">
        <v>20</v>
      </c>
      <c r="R261">
        <v>25</v>
      </c>
      <c r="S261">
        <f t="shared" si="5"/>
        <v>5</v>
      </c>
      <c r="T261" t="str">
        <f t="shared" si="4"/>
        <v>No</v>
      </c>
      <c r="U261">
        <v>2606</v>
      </c>
      <c r="V261">
        <v>108</v>
      </c>
      <c r="W261">
        <v>107</v>
      </c>
      <c r="X261">
        <v>2.5</v>
      </c>
      <c r="Y261">
        <v>4</v>
      </c>
      <c r="Z261">
        <v>111.12</v>
      </c>
      <c r="AA261">
        <v>4656</v>
      </c>
      <c r="AB261">
        <v>0.72</v>
      </c>
    </row>
    <row r="262" spans="1:28" x14ac:dyDescent="0.3">
      <c r="A262" t="s">
        <v>432</v>
      </c>
      <c r="B262">
        <v>45507</v>
      </c>
      <c r="C262" t="s">
        <v>223</v>
      </c>
      <c r="D262" t="s">
        <v>224</v>
      </c>
      <c r="E262" t="s">
        <v>32</v>
      </c>
      <c r="F262" t="s">
        <v>33</v>
      </c>
      <c r="G262" t="s">
        <v>254</v>
      </c>
      <c r="H262" t="s">
        <v>255</v>
      </c>
      <c r="I262" t="s">
        <v>58</v>
      </c>
      <c r="J262" t="s">
        <v>59</v>
      </c>
      <c r="K262" t="s">
        <v>49</v>
      </c>
      <c r="L262" t="s">
        <v>50</v>
      </c>
      <c r="M262" t="s">
        <v>51</v>
      </c>
      <c r="N262">
        <v>981</v>
      </c>
      <c r="O262">
        <v>1191.29</v>
      </c>
      <c r="P262">
        <f t="shared" si="3"/>
        <v>1168655.49</v>
      </c>
      <c r="Q262">
        <v>19</v>
      </c>
      <c r="R262">
        <v>18</v>
      </c>
      <c r="S262">
        <f t="shared" si="5"/>
        <v>0</v>
      </c>
      <c r="T262" t="str">
        <f t="shared" si="4"/>
        <v>Yes</v>
      </c>
      <c r="U262">
        <v>2370</v>
      </c>
      <c r="V262">
        <v>456</v>
      </c>
      <c r="W262">
        <v>481</v>
      </c>
      <c r="X262">
        <v>5</v>
      </c>
      <c r="Y262">
        <v>8</v>
      </c>
      <c r="Z262">
        <v>789.68</v>
      </c>
      <c r="AA262">
        <v>2783</v>
      </c>
      <c r="AB262">
        <v>0.77</v>
      </c>
    </row>
    <row r="263" spans="1:28" x14ac:dyDescent="0.3">
      <c r="A263" t="s">
        <v>433</v>
      </c>
      <c r="B263">
        <v>45508</v>
      </c>
      <c r="C263" t="s">
        <v>223</v>
      </c>
      <c r="D263" t="s">
        <v>224</v>
      </c>
      <c r="E263" t="s">
        <v>32</v>
      </c>
      <c r="F263" t="s">
        <v>102</v>
      </c>
      <c r="G263" t="s">
        <v>56</v>
      </c>
      <c r="H263" t="s">
        <v>57</v>
      </c>
      <c r="I263" t="s">
        <v>58</v>
      </c>
      <c r="J263" t="s">
        <v>59</v>
      </c>
      <c r="K263" t="s">
        <v>60</v>
      </c>
      <c r="L263" t="s">
        <v>61</v>
      </c>
      <c r="M263" t="s">
        <v>62</v>
      </c>
      <c r="N263">
        <v>252</v>
      </c>
      <c r="O263">
        <v>1167.5</v>
      </c>
      <c r="P263">
        <f t="shared" si="3"/>
        <v>294210</v>
      </c>
      <c r="Q263">
        <v>15</v>
      </c>
      <c r="R263">
        <v>19</v>
      </c>
      <c r="S263">
        <f t="shared" si="5"/>
        <v>4</v>
      </c>
      <c r="T263" t="str">
        <f t="shared" si="4"/>
        <v>No</v>
      </c>
      <c r="U263">
        <v>2890</v>
      </c>
      <c r="V263">
        <v>327</v>
      </c>
      <c r="W263">
        <v>336</v>
      </c>
      <c r="X263">
        <v>5</v>
      </c>
      <c r="Y263">
        <v>8</v>
      </c>
      <c r="Z263">
        <v>806.22</v>
      </c>
      <c r="AA263">
        <v>2413</v>
      </c>
      <c r="AB263">
        <v>0.72</v>
      </c>
    </row>
    <row r="264" spans="1:28" x14ac:dyDescent="0.3">
      <c r="A264" t="s">
        <v>434</v>
      </c>
      <c r="B264">
        <v>45509</v>
      </c>
      <c r="C264" t="s">
        <v>230</v>
      </c>
      <c r="D264" t="s">
        <v>231</v>
      </c>
      <c r="E264" t="s">
        <v>89</v>
      </c>
      <c r="F264" t="s">
        <v>44</v>
      </c>
      <c r="G264" t="s">
        <v>90</v>
      </c>
      <c r="H264" t="s">
        <v>91</v>
      </c>
      <c r="I264" t="s">
        <v>58</v>
      </c>
      <c r="J264" t="s">
        <v>92</v>
      </c>
      <c r="K264" t="s">
        <v>178</v>
      </c>
      <c r="L264" t="s">
        <v>179</v>
      </c>
      <c r="M264" t="s">
        <v>62</v>
      </c>
      <c r="N264">
        <v>186</v>
      </c>
      <c r="O264">
        <v>1636.02</v>
      </c>
      <c r="P264">
        <f t="shared" si="3"/>
        <v>304299.71999999997</v>
      </c>
      <c r="Q264">
        <v>29</v>
      </c>
      <c r="R264">
        <v>28</v>
      </c>
      <c r="S264">
        <f t="shared" si="5"/>
        <v>0</v>
      </c>
      <c r="T264" t="str">
        <f t="shared" si="4"/>
        <v>Yes</v>
      </c>
      <c r="U264">
        <v>88</v>
      </c>
      <c r="V264">
        <v>186</v>
      </c>
      <c r="W264">
        <v>150</v>
      </c>
      <c r="X264">
        <v>5</v>
      </c>
      <c r="Y264">
        <v>7</v>
      </c>
      <c r="Z264">
        <v>1052.21</v>
      </c>
      <c r="AA264">
        <v>995</v>
      </c>
      <c r="AB264">
        <v>0.97</v>
      </c>
    </row>
    <row r="265" spans="1:28" x14ac:dyDescent="0.3">
      <c r="A265" t="s">
        <v>435</v>
      </c>
      <c r="B265">
        <v>45513</v>
      </c>
      <c r="C265" t="s">
        <v>64</v>
      </c>
      <c r="D265" t="s">
        <v>65</v>
      </c>
      <c r="E265" t="s">
        <v>66</v>
      </c>
      <c r="F265" t="s">
        <v>44</v>
      </c>
      <c r="G265" t="s">
        <v>164</v>
      </c>
      <c r="H265" t="s">
        <v>165</v>
      </c>
      <c r="I265" t="s">
        <v>47</v>
      </c>
      <c r="J265" t="s">
        <v>48</v>
      </c>
      <c r="K265" t="s">
        <v>49</v>
      </c>
      <c r="L265" t="s">
        <v>50</v>
      </c>
      <c r="M265" t="s">
        <v>51</v>
      </c>
      <c r="N265">
        <v>548</v>
      </c>
      <c r="O265">
        <v>81.17</v>
      </c>
      <c r="P265">
        <f t="shared" si="3"/>
        <v>44481.16</v>
      </c>
      <c r="Q265">
        <v>10</v>
      </c>
      <c r="R265">
        <v>16</v>
      </c>
      <c r="S265">
        <f t="shared" si="5"/>
        <v>6</v>
      </c>
      <c r="T265" t="str">
        <f t="shared" si="4"/>
        <v>No</v>
      </c>
      <c r="U265">
        <v>299</v>
      </c>
      <c r="V265">
        <v>681</v>
      </c>
      <c r="W265">
        <v>620</v>
      </c>
      <c r="X265">
        <v>2</v>
      </c>
      <c r="Y265">
        <v>3</v>
      </c>
      <c r="Z265">
        <v>57.52</v>
      </c>
      <c r="AA265">
        <v>3804</v>
      </c>
      <c r="AB265">
        <v>0.73</v>
      </c>
    </row>
    <row r="266" spans="1:28" x14ac:dyDescent="0.3">
      <c r="A266" t="s">
        <v>436</v>
      </c>
      <c r="B266">
        <v>45516</v>
      </c>
      <c r="C266" t="s">
        <v>230</v>
      </c>
      <c r="D266" t="s">
        <v>231</v>
      </c>
      <c r="E266" t="s">
        <v>89</v>
      </c>
      <c r="F266" t="s">
        <v>33</v>
      </c>
      <c r="G266" t="s">
        <v>34</v>
      </c>
      <c r="H266" t="s">
        <v>35</v>
      </c>
      <c r="I266" t="s">
        <v>36</v>
      </c>
      <c r="J266" t="s">
        <v>37</v>
      </c>
      <c r="K266" t="s">
        <v>178</v>
      </c>
      <c r="L266" t="s">
        <v>179</v>
      </c>
      <c r="M266" t="s">
        <v>62</v>
      </c>
      <c r="N266">
        <v>665</v>
      </c>
      <c r="O266">
        <v>1506.64</v>
      </c>
      <c r="P266">
        <f t="shared" si="3"/>
        <v>1001915.6000000001</v>
      </c>
      <c r="Q266">
        <v>8</v>
      </c>
      <c r="R266">
        <v>12</v>
      </c>
      <c r="S266">
        <f t="shared" si="5"/>
        <v>4</v>
      </c>
      <c r="T266" t="str">
        <f t="shared" si="4"/>
        <v>No</v>
      </c>
      <c r="U266">
        <v>105</v>
      </c>
      <c r="V266">
        <v>970</v>
      </c>
      <c r="W266">
        <v>892</v>
      </c>
      <c r="X266">
        <v>5</v>
      </c>
      <c r="Y266">
        <v>7</v>
      </c>
      <c r="Z266">
        <v>1189.52</v>
      </c>
      <c r="AA266">
        <v>4269</v>
      </c>
      <c r="AB266">
        <v>0.93</v>
      </c>
    </row>
    <row r="267" spans="1:28" x14ac:dyDescent="0.3">
      <c r="A267" t="s">
        <v>437</v>
      </c>
      <c r="B267">
        <v>45516</v>
      </c>
      <c r="C267" t="s">
        <v>150</v>
      </c>
      <c r="D267" t="s">
        <v>151</v>
      </c>
      <c r="E267" t="s">
        <v>66</v>
      </c>
      <c r="F267" t="s">
        <v>102</v>
      </c>
      <c r="G267" t="s">
        <v>186</v>
      </c>
      <c r="H267" t="s">
        <v>187</v>
      </c>
      <c r="I267" t="s">
        <v>47</v>
      </c>
      <c r="J267" t="s">
        <v>48</v>
      </c>
      <c r="K267" t="s">
        <v>49</v>
      </c>
      <c r="L267" t="s">
        <v>50</v>
      </c>
      <c r="M267" t="s">
        <v>51</v>
      </c>
      <c r="N267">
        <v>484</v>
      </c>
      <c r="O267">
        <v>49.19</v>
      </c>
      <c r="P267">
        <f t="shared" si="3"/>
        <v>23807.96</v>
      </c>
      <c r="Q267">
        <v>23</v>
      </c>
      <c r="R267">
        <v>29</v>
      </c>
      <c r="S267">
        <f t="shared" si="5"/>
        <v>6</v>
      </c>
      <c r="T267" t="str">
        <f t="shared" si="4"/>
        <v>No</v>
      </c>
      <c r="U267">
        <v>637</v>
      </c>
      <c r="V267">
        <v>345</v>
      </c>
      <c r="W267">
        <v>281</v>
      </c>
      <c r="X267">
        <v>1.5</v>
      </c>
      <c r="Y267">
        <v>2</v>
      </c>
      <c r="Z267">
        <v>30.54</v>
      </c>
      <c r="AA267">
        <v>3907</v>
      </c>
      <c r="AB267">
        <v>0.96</v>
      </c>
    </row>
    <row r="268" spans="1:28" x14ac:dyDescent="0.3">
      <c r="A268" t="s">
        <v>438</v>
      </c>
      <c r="B268">
        <v>45529</v>
      </c>
      <c r="C268" t="s">
        <v>230</v>
      </c>
      <c r="D268" t="s">
        <v>231</v>
      </c>
      <c r="E268" t="s">
        <v>89</v>
      </c>
      <c r="F268" t="s">
        <v>44</v>
      </c>
      <c r="G268" t="s">
        <v>155</v>
      </c>
      <c r="H268" t="s">
        <v>156</v>
      </c>
      <c r="I268" t="s">
        <v>58</v>
      </c>
      <c r="J268" t="s">
        <v>92</v>
      </c>
      <c r="K268" t="s">
        <v>178</v>
      </c>
      <c r="L268" t="s">
        <v>179</v>
      </c>
      <c r="M268" t="s">
        <v>62</v>
      </c>
      <c r="N268">
        <v>71</v>
      </c>
      <c r="O268">
        <v>1578.61</v>
      </c>
      <c r="P268">
        <f t="shared" si="3"/>
        <v>112081.31</v>
      </c>
      <c r="Q268">
        <v>28</v>
      </c>
      <c r="R268">
        <v>27</v>
      </c>
      <c r="S268">
        <f t="shared" si="5"/>
        <v>0</v>
      </c>
      <c r="T268" t="str">
        <f t="shared" si="4"/>
        <v>Yes</v>
      </c>
      <c r="U268">
        <v>871</v>
      </c>
      <c r="V268">
        <v>74</v>
      </c>
      <c r="W268">
        <v>72</v>
      </c>
      <c r="X268">
        <v>5</v>
      </c>
      <c r="Y268">
        <v>7</v>
      </c>
      <c r="Z268">
        <v>972.8</v>
      </c>
      <c r="AA268">
        <v>2464</v>
      </c>
      <c r="AB268">
        <v>0.75</v>
      </c>
    </row>
    <row r="269" spans="1:28" x14ac:dyDescent="0.3">
      <c r="A269" t="s">
        <v>439</v>
      </c>
      <c r="B269">
        <v>45531</v>
      </c>
      <c r="C269" t="s">
        <v>195</v>
      </c>
      <c r="D269" t="s">
        <v>196</v>
      </c>
      <c r="E269" t="s">
        <v>116</v>
      </c>
      <c r="F269" t="s">
        <v>33</v>
      </c>
      <c r="G269" t="s">
        <v>56</v>
      </c>
      <c r="H269" t="s">
        <v>57</v>
      </c>
      <c r="I269" t="s">
        <v>58</v>
      </c>
      <c r="J269" t="s">
        <v>59</v>
      </c>
      <c r="K269" t="s">
        <v>80</v>
      </c>
      <c r="L269" t="s">
        <v>81</v>
      </c>
      <c r="M269" t="s">
        <v>40</v>
      </c>
      <c r="N269">
        <v>195</v>
      </c>
      <c r="O269">
        <v>1000.19</v>
      </c>
      <c r="P269">
        <f t="shared" si="3"/>
        <v>195037.05000000002</v>
      </c>
      <c r="Q269">
        <v>29</v>
      </c>
      <c r="R269">
        <v>32</v>
      </c>
      <c r="S269">
        <f t="shared" si="5"/>
        <v>3</v>
      </c>
      <c r="T269" t="str">
        <f t="shared" si="4"/>
        <v>No</v>
      </c>
      <c r="U269">
        <v>2524</v>
      </c>
      <c r="V269">
        <v>65</v>
      </c>
      <c r="W269">
        <v>83</v>
      </c>
      <c r="X269">
        <v>4</v>
      </c>
      <c r="Y269">
        <v>6</v>
      </c>
      <c r="Z269">
        <v>767.85</v>
      </c>
      <c r="AA269">
        <v>7805</v>
      </c>
      <c r="AB269">
        <v>0.74</v>
      </c>
    </row>
    <row r="270" spans="1:28" x14ac:dyDescent="0.3">
      <c r="A270" t="s">
        <v>440</v>
      </c>
      <c r="B270">
        <v>45531</v>
      </c>
      <c r="C270" t="s">
        <v>114</v>
      </c>
      <c r="D270" t="s">
        <v>115</v>
      </c>
      <c r="E270" t="s">
        <v>116</v>
      </c>
      <c r="F270" t="s">
        <v>117</v>
      </c>
      <c r="G270" t="s">
        <v>240</v>
      </c>
      <c r="H270" t="s">
        <v>241</v>
      </c>
      <c r="I270" t="s">
        <v>126</v>
      </c>
      <c r="J270" t="s">
        <v>127</v>
      </c>
      <c r="K270" t="s">
        <v>80</v>
      </c>
      <c r="L270" t="s">
        <v>81</v>
      </c>
      <c r="M270" t="s">
        <v>40</v>
      </c>
      <c r="N270">
        <v>112</v>
      </c>
      <c r="O270">
        <v>3300.76</v>
      </c>
      <c r="P270">
        <f t="shared" si="3"/>
        <v>369685.12</v>
      </c>
      <c r="Q270">
        <v>19</v>
      </c>
      <c r="R270">
        <v>17</v>
      </c>
      <c r="S270">
        <f t="shared" si="5"/>
        <v>0</v>
      </c>
      <c r="T270" t="str">
        <f t="shared" si="4"/>
        <v>Yes</v>
      </c>
      <c r="U270">
        <v>2979</v>
      </c>
      <c r="V270">
        <v>52</v>
      </c>
      <c r="W270">
        <v>73</v>
      </c>
      <c r="X270">
        <v>11</v>
      </c>
      <c r="Y270">
        <v>15</v>
      </c>
      <c r="Z270">
        <v>2620.7800000000002</v>
      </c>
      <c r="AA270">
        <v>1112</v>
      </c>
      <c r="AB270">
        <v>0.83</v>
      </c>
    </row>
    <row r="271" spans="1:28" x14ac:dyDescent="0.3">
      <c r="A271" t="s">
        <v>441</v>
      </c>
      <c r="B271">
        <v>45533</v>
      </c>
      <c r="C271" t="s">
        <v>210</v>
      </c>
      <c r="D271" t="s">
        <v>211</v>
      </c>
      <c r="E271" t="s">
        <v>66</v>
      </c>
      <c r="F271" t="s">
        <v>44</v>
      </c>
      <c r="G271" t="s">
        <v>240</v>
      </c>
      <c r="H271" t="s">
        <v>241</v>
      </c>
      <c r="I271" t="s">
        <v>126</v>
      </c>
      <c r="J271" t="s">
        <v>127</v>
      </c>
      <c r="K271" t="s">
        <v>70</v>
      </c>
      <c r="L271" t="s">
        <v>71</v>
      </c>
      <c r="M271" t="s">
        <v>72</v>
      </c>
      <c r="N271">
        <v>860</v>
      </c>
      <c r="O271">
        <v>31.74</v>
      </c>
      <c r="P271">
        <f t="shared" si="3"/>
        <v>27296.399999999998</v>
      </c>
      <c r="Q271">
        <v>13</v>
      </c>
      <c r="R271">
        <v>18</v>
      </c>
      <c r="S271">
        <f t="shared" si="5"/>
        <v>5</v>
      </c>
      <c r="T271" t="str">
        <f t="shared" si="4"/>
        <v>No</v>
      </c>
      <c r="U271">
        <v>1018</v>
      </c>
      <c r="V271">
        <v>1032</v>
      </c>
      <c r="W271">
        <v>1237</v>
      </c>
      <c r="X271">
        <v>1.2</v>
      </c>
      <c r="Y271">
        <v>2</v>
      </c>
      <c r="Z271">
        <v>23.29</v>
      </c>
      <c r="AA271">
        <v>3255</v>
      </c>
      <c r="AB271">
        <v>0.71</v>
      </c>
    </row>
    <row r="272" spans="1:28" x14ac:dyDescent="0.3">
      <c r="A272" t="s">
        <v>442</v>
      </c>
      <c r="B272">
        <v>45538</v>
      </c>
      <c r="C272" t="s">
        <v>150</v>
      </c>
      <c r="D272" t="s">
        <v>151</v>
      </c>
      <c r="E272" t="s">
        <v>66</v>
      </c>
      <c r="F272" t="s">
        <v>117</v>
      </c>
      <c r="G272" t="s">
        <v>138</v>
      </c>
      <c r="H272" t="s">
        <v>139</v>
      </c>
      <c r="I272" t="s">
        <v>47</v>
      </c>
      <c r="J272" t="s">
        <v>48</v>
      </c>
      <c r="K272" t="s">
        <v>49</v>
      </c>
      <c r="L272" t="s">
        <v>50</v>
      </c>
      <c r="M272" t="s">
        <v>51</v>
      </c>
      <c r="N272">
        <v>69</v>
      </c>
      <c r="O272">
        <v>49.6</v>
      </c>
      <c r="P272">
        <f t="shared" si="3"/>
        <v>3422.4</v>
      </c>
      <c r="Q272">
        <v>20</v>
      </c>
      <c r="R272">
        <v>26</v>
      </c>
      <c r="S272">
        <f t="shared" si="5"/>
        <v>6</v>
      </c>
      <c r="T272" t="str">
        <f t="shared" si="4"/>
        <v>No</v>
      </c>
      <c r="U272">
        <v>1484</v>
      </c>
      <c r="V272">
        <v>84</v>
      </c>
      <c r="W272">
        <v>125</v>
      </c>
      <c r="X272">
        <v>1.5</v>
      </c>
      <c r="Y272">
        <v>2</v>
      </c>
      <c r="Z272">
        <v>39.42</v>
      </c>
      <c r="AA272">
        <v>1320</v>
      </c>
      <c r="AB272">
        <v>0.77</v>
      </c>
    </row>
    <row r="273" spans="1:28" x14ac:dyDescent="0.3">
      <c r="A273" t="s">
        <v>443</v>
      </c>
      <c r="B273">
        <v>45538</v>
      </c>
      <c r="C273" t="s">
        <v>176</v>
      </c>
      <c r="D273" t="s">
        <v>177</v>
      </c>
      <c r="E273" t="s">
        <v>89</v>
      </c>
      <c r="F273" t="s">
        <v>44</v>
      </c>
      <c r="G273" t="s">
        <v>167</v>
      </c>
      <c r="H273" t="s">
        <v>168</v>
      </c>
      <c r="I273" t="s">
        <v>47</v>
      </c>
      <c r="J273" t="s">
        <v>48</v>
      </c>
      <c r="K273" t="s">
        <v>178</v>
      </c>
      <c r="L273" t="s">
        <v>179</v>
      </c>
      <c r="M273" t="s">
        <v>62</v>
      </c>
      <c r="N273">
        <v>629</v>
      </c>
      <c r="O273">
        <v>4231.71</v>
      </c>
      <c r="P273">
        <f t="shared" si="3"/>
        <v>2661745.59</v>
      </c>
      <c r="Q273">
        <v>30</v>
      </c>
      <c r="R273">
        <v>29</v>
      </c>
      <c r="S273">
        <f t="shared" si="5"/>
        <v>0</v>
      </c>
      <c r="T273" t="str">
        <f t="shared" si="4"/>
        <v>Yes</v>
      </c>
      <c r="U273">
        <v>2701</v>
      </c>
      <c r="V273">
        <v>680</v>
      </c>
      <c r="W273">
        <v>910</v>
      </c>
      <c r="X273">
        <v>12</v>
      </c>
      <c r="Y273">
        <v>18</v>
      </c>
      <c r="Z273">
        <v>3149.1</v>
      </c>
      <c r="AA273">
        <v>2261</v>
      </c>
      <c r="AB273">
        <v>0.82</v>
      </c>
    </row>
    <row r="274" spans="1:28" x14ac:dyDescent="0.3">
      <c r="A274" t="s">
        <v>444</v>
      </c>
      <c r="B274">
        <v>45539</v>
      </c>
      <c r="C274" t="s">
        <v>223</v>
      </c>
      <c r="D274" t="s">
        <v>224</v>
      </c>
      <c r="E274" t="s">
        <v>32</v>
      </c>
      <c r="F274" t="s">
        <v>44</v>
      </c>
      <c r="G274" t="s">
        <v>164</v>
      </c>
      <c r="H274" t="s">
        <v>165</v>
      </c>
      <c r="I274" t="s">
        <v>47</v>
      </c>
      <c r="J274" t="s">
        <v>48</v>
      </c>
      <c r="K274" t="s">
        <v>93</v>
      </c>
      <c r="L274" t="s">
        <v>94</v>
      </c>
      <c r="M274" t="s">
        <v>95</v>
      </c>
      <c r="N274">
        <v>106</v>
      </c>
      <c r="O274">
        <v>1247.3900000000001</v>
      </c>
      <c r="P274">
        <f t="shared" si="3"/>
        <v>132223.34</v>
      </c>
      <c r="Q274">
        <v>17</v>
      </c>
      <c r="R274">
        <v>19</v>
      </c>
      <c r="S274">
        <f t="shared" si="5"/>
        <v>2</v>
      </c>
      <c r="T274" t="str">
        <f t="shared" si="4"/>
        <v>No</v>
      </c>
      <c r="U274">
        <v>1052</v>
      </c>
      <c r="V274">
        <v>123</v>
      </c>
      <c r="W274">
        <v>154</v>
      </c>
      <c r="X274">
        <v>5</v>
      </c>
      <c r="Y274">
        <v>8</v>
      </c>
      <c r="Z274">
        <v>974.55</v>
      </c>
      <c r="AA274">
        <v>7653</v>
      </c>
      <c r="AB274">
        <v>0.74</v>
      </c>
    </row>
    <row r="275" spans="1:28" x14ac:dyDescent="0.3">
      <c r="A275" t="s">
        <v>445</v>
      </c>
      <c r="B275">
        <v>45543</v>
      </c>
      <c r="C275" t="s">
        <v>87</v>
      </c>
      <c r="D275" t="s">
        <v>88</v>
      </c>
      <c r="E275" t="s">
        <v>89</v>
      </c>
      <c r="F275" t="s">
        <v>33</v>
      </c>
      <c r="G275" t="s">
        <v>225</v>
      </c>
      <c r="H275" t="s">
        <v>226</v>
      </c>
      <c r="I275" t="s">
        <v>36</v>
      </c>
      <c r="J275" t="s">
        <v>37</v>
      </c>
      <c r="K275" t="s">
        <v>178</v>
      </c>
      <c r="L275" t="s">
        <v>179</v>
      </c>
      <c r="M275" t="s">
        <v>62</v>
      </c>
      <c r="N275">
        <v>675</v>
      </c>
      <c r="O275">
        <v>9140.32</v>
      </c>
      <c r="P275">
        <f t="shared" si="3"/>
        <v>6169716</v>
      </c>
      <c r="Q275">
        <v>18</v>
      </c>
      <c r="R275">
        <v>19</v>
      </c>
      <c r="S275">
        <f t="shared" si="5"/>
        <v>1</v>
      </c>
      <c r="T275" t="str">
        <f t="shared" si="4"/>
        <v>No</v>
      </c>
      <c r="U275">
        <v>1859</v>
      </c>
      <c r="V275">
        <v>679</v>
      </c>
      <c r="W275">
        <v>927</v>
      </c>
      <c r="X275">
        <v>18</v>
      </c>
      <c r="Y275">
        <v>25</v>
      </c>
      <c r="Z275">
        <v>5496.07</v>
      </c>
      <c r="AA275">
        <v>7101</v>
      </c>
      <c r="AB275">
        <v>0.74</v>
      </c>
    </row>
    <row r="276" spans="1:28" x14ac:dyDescent="0.3">
      <c r="A276" t="s">
        <v>446</v>
      </c>
      <c r="B276">
        <v>45550</v>
      </c>
      <c r="C276" t="s">
        <v>122</v>
      </c>
      <c r="D276" t="s">
        <v>123</v>
      </c>
      <c r="E276" t="s">
        <v>89</v>
      </c>
      <c r="F276" t="s">
        <v>33</v>
      </c>
      <c r="G276" t="s">
        <v>134</v>
      </c>
      <c r="H276" t="s">
        <v>135</v>
      </c>
      <c r="I276" t="s">
        <v>58</v>
      </c>
      <c r="J276" t="s">
        <v>59</v>
      </c>
      <c r="K276" t="s">
        <v>97</v>
      </c>
      <c r="L276" t="s">
        <v>98</v>
      </c>
      <c r="M276" t="s">
        <v>51</v>
      </c>
      <c r="N276">
        <v>177</v>
      </c>
      <c r="O276">
        <v>2132.69</v>
      </c>
      <c r="P276">
        <f t="shared" si="3"/>
        <v>377486.13</v>
      </c>
      <c r="Q276">
        <v>13</v>
      </c>
      <c r="R276">
        <v>21</v>
      </c>
      <c r="S276">
        <f t="shared" si="5"/>
        <v>8</v>
      </c>
      <c r="T276" t="str">
        <f t="shared" si="4"/>
        <v>No</v>
      </c>
      <c r="U276">
        <v>2838</v>
      </c>
      <c r="V276">
        <v>171</v>
      </c>
      <c r="W276">
        <v>218</v>
      </c>
      <c r="X276">
        <v>8</v>
      </c>
      <c r="Y276">
        <v>12</v>
      </c>
      <c r="Z276">
        <v>1639.12</v>
      </c>
      <c r="AA276">
        <v>6856</v>
      </c>
      <c r="AB276">
        <v>0.72</v>
      </c>
    </row>
    <row r="277" spans="1:28" x14ac:dyDescent="0.3">
      <c r="A277" t="s">
        <v>447</v>
      </c>
      <c r="B277">
        <v>45552</v>
      </c>
      <c r="C277" t="s">
        <v>109</v>
      </c>
      <c r="D277" t="s">
        <v>110</v>
      </c>
      <c r="E277" t="s">
        <v>32</v>
      </c>
      <c r="F277" t="s">
        <v>33</v>
      </c>
      <c r="G277" t="s">
        <v>141</v>
      </c>
      <c r="H277" t="s">
        <v>142</v>
      </c>
      <c r="I277" t="s">
        <v>47</v>
      </c>
      <c r="J277" t="s">
        <v>48</v>
      </c>
      <c r="K277" t="s">
        <v>93</v>
      </c>
      <c r="L277" t="s">
        <v>94</v>
      </c>
      <c r="M277" t="s">
        <v>95</v>
      </c>
      <c r="N277">
        <v>370</v>
      </c>
      <c r="O277">
        <v>2667.31</v>
      </c>
      <c r="P277">
        <f t="shared" si="3"/>
        <v>986904.7</v>
      </c>
      <c r="Q277">
        <v>24</v>
      </c>
      <c r="R277">
        <v>24</v>
      </c>
      <c r="S277">
        <f t="shared" si="5"/>
        <v>0</v>
      </c>
      <c r="T277" t="str">
        <f t="shared" si="4"/>
        <v>Yes</v>
      </c>
      <c r="U277">
        <v>2779</v>
      </c>
      <c r="V277">
        <v>424</v>
      </c>
      <c r="W277">
        <v>427</v>
      </c>
      <c r="X277">
        <v>6</v>
      </c>
      <c r="Y277">
        <v>9</v>
      </c>
      <c r="Z277">
        <v>1928.19</v>
      </c>
      <c r="AA277">
        <v>1194</v>
      </c>
      <c r="AB277">
        <v>0.89</v>
      </c>
    </row>
    <row r="278" spans="1:28" x14ac:dyDescent="0.3">
      <c r="A278" t="s">
        <v>448</v>
      </c>
      <c r="B278">
        <v>45556</v>
      </c>
      <c r="C278" t="s">
        <v>42</v>
      </c>
      <c r="D278" t="s">
        <v>43</v>
      </c>
      <c r="E278" t="s">
        <v>32</v>
      </c>
      <c r="F278" t="s">
        <v>55</v>
      </c>
      <c r="G278" t="s">
        <v>155</v>
      </c>
      <c r="H278" t="s">
        <v>156</v>
      </c>
      <c r="I278" t="s">
        <v>58</v>
      </c>
      <c r="J278" t="s">
        <v>92</v>
      </c>
      <c r="K278" t="s">
        <v>49</v>
      </c>
      <c r="L278" t="s">
        <v>50</v>
      </c>
      <c r="M278" t="s">
        <v>51</v>
      </c>
      <c r="N278">
        <v>201</v>
      </c>
      <c r="O278">
        <v>692.96</v>
      </c>
      <c r="P278">
        <f t="shared" si="3"/>
        <v>139284.96000000002</v>
      </c>
      <c r="Q278">
        <v>7</v>
      </c>
      <c r="R278">
        <v>13</v>
      </c>
      <c r="S278">
        <f t="shared" si="5"/>
        <v>6</v>
      </c>
      <c r="T278" t="str">
        <f t="shared" si="4"/>
        <v>No</v>
      </c>
      <c r="U278">
        <v>1497</v>
      </c>
      <c r="V278">
        <v>76</v>
      </c>
      <c r="W278">
        <v>88</v>
      </c>
      <c r="X278">
        <v>3.5</v>
      </c>
      <c r="Y278">
        <v>5</v>
      </c>
      <c r="Z278">
        <v>486.09</v>
      </c>
      <c r="AA278">
        <v>4658</v>
      </c>
      <c r="AB278">
        <v>0.86</v>
      </c>
    </row>
    <row r="279" spans="1:28" x14ac:dyDescent="0.3">
      <c r="A279" t="s">
        <v>449</v>
      </c>
      <c r="B279">
        <v>45557</v>
      </c>
      <c r="C279" t="s">
        <v>30</v>
      </c>
      <c r="D279" t="s">
        <v>31</v>
      </c>
      <c r="E279" t="s">
        <v>32</v>
      </c>
      <c r="F279" t="s">
        <v>44</v>
      </c>
      <c r="G279" t="s">
        <v>34</v>
      </c>
      <c r="H279" t="s">
        <v>35</v>
      </c>
      <c r="I279" t="s">
        <v>36</v>
      </c>
      <c r="J279" t="s">
        <v>37</v>
      </c>
      <c r="K279" t="s">
        <v>38</v>
      </c>
      <c r="L279" t="s">
        <v>39</v>
      </c>
      <c r="M279" t="s">
        <v>40</v>
      </c>
      <c r="N279">
        <v>863</v>
      </c>
      <c r="O279">
        <v>11251.27</v>
      </c>
      <c r="P279">
        <f t="shared" si="3"/>
        <v>9709846.0099999998</v>
      </c>
      <c r="Q279">
        <v>14</v>
      </c>
      <c r="R279">
        <v>15</v>
      </c>
      <c r="S279">
        <f t="shared" si="5"/>
        <v>1</v>
      </c>
      <c r="T279" t="str">
        <f t="shared" si="4"/>
        <v>No</v>
      </c>
      <c r="U279">
        <v>1780</v>
      </c>
      <c r="V279">
        <v>1072</v>
      </c>
      <c r="W279">
        <v>1312</v>
      </c>
      <c r="X279">
        <v>25</v>
      </c>
      <c r="Y279">
        <v>35</v>
      </c>
      <c r="Z279">
        <v>7475.9</v>
      </c>
      <c r="AA279">
        <v>4119</v>
      </c>
      <c r="AB279">
        <v>0.82</v>
      </c>
    </row>
    <row r="280" spans="1:28" x14ac:dyDescent="0.3">
      <c r="A280" t="s">
        <v>450</v>
      </c>
      <c r="B280">
        <v>45557</v>
      </c>
      <c r="C280" t="s">
        <v>230</v>
      </c>
      <c r="D280" t="s">
        <v>231</v>
      </c>
      <c r="E280" t="s">
        <v>89</v>
      </c>
      <c r="F280" t="s">
        <v>55</v>
      </c>
      <c r="G280" t="s">
        <v>240</v>
      </c>
      <c r="H280" t="s">
        <v>241</v>
      </c>
      <c r="I280" t="s">
        <v>126</v>
      </c>
      <c r="J280" t="s">
        <v>127</v>
      </c>
      <c r="K280" t="s">
        <v>97</v>
      </c>
      <c r="L280" t="s">
        <v>98</v>
      </c>
      <c r="M280" t="s">
        <v>51</v>
      </c>
      <c r="N280">
        <v>843</v>
      </c>
      <c r="O280">
        <v>1472.79</v>
      </c>
      <c r="P280">
        <f t="shared" si="3"/>
        <v>1241561.97</v>
      </c>
      <c r="Q280">
        <v>23</v>
      </c>
      <c r="R280">
        <v>26</v>
      </c>
      <c r="S280">
        <f t="shared" si="5"/>
        <v>3</v>
      </c>
      <c r="T280" t="str">
        <f t="shared" si="4"/>
        <v>No</v>
      </c>
      <c r="U280">
        <v>797</v>
      </c>
      <c r="V280">
        <v>1024</v>
      </c>
      <c r="W280">
        <v>1176</v>
      </c>
      <c r="X280">
        <v>5</v>
      </c>
      <c r="Y280">
        <v>7</v>
      </c>
      <c r="Z280">
        <v>1035.29</v>
      </c>
      <c r="AA280">
        <v>4585</v>
      </c>
      <c r="AB280">
        <v>0.95</v>
      </c>
    </row>
    <row r="281" spans="1:28" x14ac:dyDescent="0.3">
      <c r="A281" t="s">
        <v>451</v>
      </c>
      <c r="B281">
        <v>45564</v>
      </c>
      <c r="C281" t="s">
        <v>150</v>
      </c>
      <c r="D281" t="s">
        <v>151</v>
      </c>
      <c r="E281" t="s">
        <v>66</v>
      </c>
      <c r="F281" t="s">
        <v>102</v>
      </c>
      <c r="G281" t="s">
        <v>186</v>
      </c>
      <c r="H281" t="s">
        <v>187</v>
      </c>
      <c r="I281" t="s">
        <v>47</v>
      </c>
      <c r="J281" t="s">
        <v>48</v>
      </c>
      <c r="K281" t="s">
        <v>49</v>
      </c>
      <c r="L281" t="s">
        <v>50</v>
      </c>
      <c r="M281" t="s">
        <v>51</v>
      </c>
      <c r="N281">
        <v>801</v>
      </c>
      <c r="O281">
        <v>49.23</v>
      </c>
      <c r="P281">
        <f t="shared" si="3"/>
        <v>39433.229999999996</v>
      </c>
      <c r="Q281">
        <v>28</v>
      </c>
      <c r="R281">
        <v>34</v>
      </c>
      <c r="S281">
        <f t="shared" si="5"/>
        <v>6</v>
      </c>
      <c r="T281" t="str">
        <f t="shared" si="4"/>
        <v>No</v>
      </c>
      <c r="U281">
        <v>1024</v>
      </c>
      <c r="V281">
        <v>385</v>
      </c>
      <c r="W281">
        <v>559</v>
      </c>
      <c r="X281">
        <v>1.5</v>
      </c>
      <c r="Y281">
        <v>2</v>
      </c>
      <c r="Z281">
        <v>29.77</v>
      </c>
      <c r="AA281">
        <v>4936</v>
      </c>
      <c r="AB281">
        <v>0.8</v>
      </c>
    </row>
    <row r="282" spans="1:28" x14ac:dyDescent="0.3">
      <c r="A282" t="s">
        <v>452</v>
      </c>
      <c r="B282">
        <v>45569</v>
      </c>
      <c r="C282" t="s">
        <v>53</v>
      </c>
      <c r="D282" t="s">
        <v>54</v>
      </c>
      <c r="E282" t="s">
        <v>32</v>
      </c>
      <c r="F282" t="s">
        <v>102</v>
      </c>
      <c r="G282" t="s">
        <v>167</v>
      </c>
      <c r="H282" t="s">
        <v>168</v>
      </c>
      <c r="I282" t="s">
        <v>47</v>
      </c>
      <c r="J282" t="s">
        <v>48</v>
      </c>
      <c r="K282" t="s">
        <v>38</v>
      </c>
      <c r="L282" t="s">
        <v>39</v>
      </c>
      <c r="M282" t="s">
        <v>40</v>
      </c>
      <c r="N282">
        <v>378</v>
      </c>
      <c r="O282">
        <v>411.24</v>
      </c>
      <c r="P282">
        <f t="shared" si="3"/>
        <v>155448.72</v>
      </c>
      <c r="Q282">
        <v>23</v>
      </c>
      <c r="R282">
        <v>25</v>
      </c>
      <c r="S282">
        <f t="shared" si="5"/>
        <v>2</v>
      </c>
      <c r="T282" t="str">
        <f t="shared" si="4"/>
        <v>No</v>
      </c>
      <c r="U282">
        <v>664</v>
      </c>
      <c r="V282">
        <v>229</v>
      </c>
      <c r="W282">
        <v>199</v>
      </c>
      <c r="X282">
        <v>3</v>
      </c>
      <c r="Y282">
        <v>5</v>
      </c>
      <c r="Z282">
        <v>293.94</v>
      </c>
      <c r="AA282">
        <v>6421</v>
      </c>
      <c r="AB282">
        <v>0.73</v>
      </c>
    </row>
    <row r="283" spans="1:28" x14ac:dyDescent="0.3">
      <c r="A283" t="s">
        <v>453</v>
      </c>
      <c r="B283">
        <v>45574</v>
      </c>
      <c r="C283" t="s">
        <v>158</v>
      </c>
      <c r="D283" t="s">
        <v>159</v>
      </c>
      <c r="E283" t="s">
        <v>89</v>
      </c>
      <c r="F283" t="s">
        <v>55</v>
      </c>
      <c r="G283" t="s">
        <v>225</v>
      </c>
      <c r="H283" t="s">
        <v>226</v>
      </c>
      <c r="I283" t="s">
        <v>36</v>
      </c>
      <c r="J283" t="s">
        <v>37</v>
      </c>
      <c r="K283" t="s">
        <v>178</v>
      </c>
      <c r="L283" t="s">
        <v>179</v>
      </c>
      <c r="M283" t="s">
        <v>62</v>
      </c>
      <c r="N283">
        <v>741</v>
      </c>
      <c r="O283">
        <v>6613.99</v>
      </c>
      <c r="P283">
        <f t="shared" si="3"/>
        <v>4900966.59</v>
      </c>
      <c r="Q283">
        <v>16</v>
      </c>
      <c r="R283">
        <v>23</v>
      </c>
      <c r="S283">
        <f t="shared" si="5"/>
        <v>7</v>
      </c>
      <c r="T283" t="str">
        <f t="shared" si="4"/>
        <v>No</v>
      </c>
      <c r="U283">
        <v>748</v>
      </c>
      <c r="V283">
        <v>670</v>
      </c>
      <c r="W283">
        <v>861</v>
      </c>
      <c r="X283">
        <v>15</v>
      </c>
      <c r="Y283">
        <v>20</v>
      </c>
      <c r="Z283">
        <v>4394.84</v>
      </c>
      <c r="AA283">
        <v>1445</v>
      </c>
      <c r="AB283">
        <v>0.91</v>
      </c>
    </row>
    <row r="284" spans="1:28" x14ac:dyDescent="0.3">
      <c r="A284" t="s">
        <v>454</v>
      </c>
      <c r="B284">
        <v>45575</v>
      </c>
      <c r="C284" t="s">
        <v>30</v>
      </c>
      <c r="D284" t="s">
        <v>31</v>
      </c>
      <c r="E284" t="s">
        <v>32</v>
      </c>
      <c r="F284" t="s">
        <v>117</v>
      </c>
      <c r="G284" t="s">
        <v>45</v>
      </c>
      <c r="H284" t="s">
        <v>46</v>
      </c>
      <c r="I284" t="s">
        <v>47</v>
      </c>
      <c r="J284" t="s">
        <v>48</v>
      </c>
      <c r="K284" t="s">
        <v>49</v>
      </c>
      <c r="L284" t="s">
        <v>50</v>
      </c>
      <c r="M284" t="s">
        <v>51</v>
      </c>
      <c r="N284">
        <v>478</v>
      </c>
      <c r="O284">
        <v>13307.68</v>
      </c>
      <c r="P284">
        <f t="shared" si="3"/>
        <v>6361071.04</v>
      </c>
      <c r="Q284">
        <v>21</v>
      </c>
      <c r="R284">
        <v>25</v>
      </c>
      <c r="S284">
        <f t="shared" si="5"/>
        <v>4</v>
      </c>
      <c r="T284" t="str">
        <f t="shared" si="4"/>
        <v>No</v>
      </c>
      <c r="U284">
        <v>37</v>
      </c>
      <c r="V284">
        <v>447</v>
      </c>
      <c r="W284">
        <v>372</v>
      </c>
      <c r="X284">
        <v>25</v>
      </c>
      <c r="Y284">
        <v>35</v>
      </c>
      <c r="Z284">
        <v>10473.959999999999</v>
      </c>
      <c r="AA284">
        <v>7371</v>
      </c>
      <c r="AB284">
        <v>0.86</v>
      </c>
    </row>
    <row r="285" spans="1:28" x14ac:dyDescent="0.3">
      <c r="A285" t="s">
        <v>455</v>
      </c>
      <c r="B285">
        <v>45576</v>
      </c>
      <c r="C285" t="s">
        <v>30</v>
      </c>
      <c r="D285" t="s">
        <v>31</v>
      </c>
      <c r="E285" t="s">
        <v>32</v>
      </c>
      <c r="F285" t="s">
        <v>33</v>
      </c>
      <c r="G285" t="s">
        <v>181</v>
      </c>
      <c r="H285" t="s">
        <v>182</v>
      </c>
      <c r="I285" t="s">
        <v>126</v>
      </c>
      <c r="J285" t="s">
        <v>127</v>
      </c>
      <c r="K285" t="s">
        <v>97</v>
      </c>
      <c r="L285" t="s">
        <v>98</v>
      </c>
      <c r="M285" t="s">
        <v>51</v>
      </c>
      <c r="N285">
        <v>493</v>
      </c>
      <c r="O285">
        <v>14029.46</v>
      </c>
      <c r="P285">
        <f t="shared" si="3"/>
        <v>6916523.7799999993</v>
      </c>
      <c r="Q285">
        <v>21</v>
      </c>
      <c r="R285">
        <v>27</v>
      </c>
      <c r="S285">
        <f t="shared" si="5"/>
        <v>6</v>
      </c>
      <c r="T285" t="str">
        <f t="shared" si="4"/>
        <v>No</v>
      </c>
      <c r="U285">
        <v>1583</v>
      </c>
      <c r="V285">
        <v>461</v>
      </c>
      <c r="W285">
        <v>502</v>
      </c>
      <c r="X285">
        <v>25</v>
      </c>
      <c r="Y285">
        <v>35</v>
      </c>
      <c r="Z285">
        <v>10861.18</v>
      </c>
      <c r="AA285">
        <v>1735</v>
      </c>
      <c r="AB285">
        <v>0.74</v>
      </c>
    </row>
    <row r="286" spans="1:28" x14ac:dyDescent="0.3">
      <c r="A286" t="s">
        <v>456</v>
      </c>
      <c r="B286">
        <v>45581</v>
      </c>
      <c r="C286" t="s">
        <v>100</v>
      </c>
      <c r="D286" t="s">
        <v>101</v>
      </c>
      <c r="E286" t="s">
        <v>76</v>
      </c>
      <c r="F286" t="s">
        <v>117</v>
      </c>
      <c r="G286" t="s">
        <v>134</v>
      </c>
      <c r="H286" t="s">
        <v>135</v>
      </c>
      <c r="I286" t="s">
        <v>58</v>
      </c>
      <c r="J286" t="s">
        <v>59</v>
      </c>
      <c r="K286" t="s">
        <v>80</v>
      </c>
      <c r="L286" t="s">
        <v>81</v>
      </c>
      <c r="M286" t="s">
        <v>40</v>
      </c>
      <c r="N286">
        <v>260</v>
      </c>
      <c r="O286">
        <v>812.43</v>
      </c>
      <c r="P286">
        <f t="shared" si="3"/>
        <v>211231.8</v>
      </c>
      <c r="Q286">
        <v>28</v>
      </c>
      <c r="R286">
        <v>34</v>
      </c>
      <c r="S286">
        <f t="shared" si="5"/>
        <v>6</v>
      </c>
      <c r="T286" t="str">
        <f t="shared" si="4"/>
        <v>No</v>
      </c>
      <c r="U286">
        <v>2253</v>
      </c>
      <c r="V286">
        <v>105</v>
      </c>
      <c r="W286">
        <v>115</v>
      </c>
      <c r="X286">
        <v>4</v>
      </c>
      <c r="Y286">
        <v>6</v>
      </c>
      <c r="Z286">
        <v>492.3</v>
      </c>
      <c r="AA286">
        <v>2291</v>
      </c>
      <c r="AB286">
        <v>0.77</v>
      </c>
    </row>
    <row r="287" spans="1:28" x14ac:dyDescent="0.3">
      <c r="A287" t="s">
        <v>457</v>
      </c>
      <c r="B287">
        <v>45583</v>
      </c>
      <c r="C287" t="s">
        <v>64</v>
      </c>
      <c r="D287" t="s">
        <v>65</v>
      </c>
      <c r="E287" t="s">
        <v>66</v>
      </c>
      <c r="F287" t="s">
        <v>33</v>
      </c>
      <c r="G287" t="s">
        <v>206</v>
      </c>
      <c r="H287" t="s">
        <v>207</v>
      </c>
      <c r="I287" t="s">
        <v>126</v>
      </c>
      <c r="J287" t="s">
        <v>127</v>
      </c>
      <c r="K287" t="s">
        <v>70</v>
      </c>
      <c r="L287" t="s">
        <v>71</v>
      </c>
      <c r="M287" t="s">
        <v>72</v>
      </c>
      <c r="N287">
        <v>881</v>
      </c>
      <c r="O287">
        <v>87.21</v>
      </c>
      <c r="P287">
        <f t="shared" si="3"/>
        <v>76832.009999999995</v>
      </c>
      <c r="Q287">
        <v>13</v>
      </c>
      <c r="R287">
        <v>11</v>
      </c>
      <c r="S287">
        <f t="shared" si="5"/>
        <v>0</v>
      </c>
      <c r="T287" t="str">
        <f t="shared" si="4"/>
        <v>Yes</v>
      </c>
      <c r="U287">
        <v>1374</v>
      </c>
      <c r="V287">
        <v>436</v>
      </c>
      <c r="W287">
        <v>488</v>
      </c>
      <c r="X287">
        <v>2</v>
      </c>
      <c r="Y287">
        <v>3</v>
      </c>
      <c r="Z287">
        <v>56.82</v>
      </c>
      <c r="AA287">
        <v>2025</v>
      </c>
      <c r="AB287">
        <v>0.7</v>
      </c>
    </row>
    <row r="288" spans="1:28" x14ac:dyDescent="0.3">
      <c r="A288" t="s">
        <v>458</v>
      </c>
      <c r="B288">
        <v>45584</v>
      </c>
      <c r="C288" t="s">
        <v>64</v>
      </c>
      <c r="D288" t="s">
        <v>65</v>
      </c>
      <c r="E288" t="s">
        <v>66</v>
      </c>
      <c r="F288" t="s">
        <v>102</v>
      </c>
      <c r="G288" t="s">
        <v>119</v>
      </c>
      <c r="H288" t="s">
        <v>120</v>
      </c>
      <c r="I288" t="s">
        <v>58</v>
      </c>
      <c r="J288" t="s">
        <v>59</v>
      </c>
      <c r="K288" t="s">
        <v>49</v>
      </c>
      <c r="L288" t="s">
        <v>50</v>
      </c>
      <c r="M288" t="s">
        <v>51</v>
      </c>
      <c r="N288">
        <v>916</v>
      </c>
      <c r="O288">
        <v>84.61</v>
      </c>
      <c r="P288">
        <f t="shared" si="3"/>
        <v>77502.759999999995</v>
      </c>
      <c r="Q288">
        <v>10</v>
      </c>
      <c r="R288">
        <v>9</v>
      </c>
      <c r="S288">
        <f t="shared" si="5"/>
        <v>0</v>
      </c>
      <c r="T288" t="str">
        <f t="shared" si="4"/>
        <v>Yes</v>
      </c>
      <c r="U288">
        <v>1098</v>
      </c>
      <c r="V288">
        <v>758</v>
      </c>
      <c r="W288">
        <v>746</v>
      </c>
      <c r="X288">
        <v>2</v>
      </c>
      <c r="Y288">
        <v>3</v>
      </c>
      <c r="Z288">
        <v>64.930000000000007</v>
      </c>
      <c r="AA288">
        <v>5122</v>
      </c>
      <c r="AB288">
        <v>0.72</v>
      </c>
    </row>
    <row r="289" spans="1:28" x14ac:dyDescent="0.3">
      <c r="A289" t="s">
        <v>459</v>
      </c>
      <c r="B289">
        <v>45585</v>
      </c>
      <c r="C289" t="s">
        <v>109</v>
      </c>
      <c r="D289" t="s">
        <v>110</v>
      </c>
      <c r="E289" t="s">
        <v>32</v>
      </c>
      <c r="F289" t="s">
        <v>102</v>
      </c>
      <c r="G289" t="s">
        <v>111</v>
      </c>
      <c r="H289" t="s">
        <v>112</v>
      </c>
      <c r="I289" t="s">
        <v>58</v>
      </c>
      <c r="J289" t="s">
        <v>69</v>
      </c>
      <c r="K289" t="s">
        <v>60</v>
      </c>
      <c r="L289" t="s">
        <v>61</v>
      </c>
      <c r="M289" t="s">
        <v>62</v>
      </c>
      <c r="N289">
        <v>90</v>
      </c>
      <c r="O289">
        <v>2435.46</v>
      </c>
      <c r="P289">
        <f t="shared" si="3"/>
        <v>219191.4</v>
      </c>
      <c r="Q289">
        <v>30</v>
      </c>
      <c r="R289">
        <v>37</v>
      </c>
      <c r="S289">
        <f t="shared" si="5"/>
        <v>7</v>
      </c>
      <c r="T289" t="str">
        <f t="shared" si="4"/>
        <v>No</v>
      </c>
      <c r="U289">
        <v>380</v>
      </c>
      <c r="V289">
        <v>119</v>
      </c>
      <c r="W289">
        <v>132</v>
      </c>
      <c r="X289">
        <v>6</v>
      </c>
      <c r="Y289">
        <v>9</v>
      </c>
      <c r="Z289">
        <v>1519.1</v>
      </c>
      <c r="AA289">
        <v>4574</v>
      </c>
      <c r="AB289">
        <v>0.91</v>
      </c>
    </row>
    <row r="290" spans="1:28" x14ac:dyDescent="0.3">
      <c r="A290" t="s">
        <v>460</v>
      </c>
      <c r="B290">
        <v>45585</v>
      </c>
      <c r="C290" t="s">
        <v>230</v>
      </c>
      <c r="D290" t="s">
        <v>231</v>
      </c>
      <c r="E290" t="s">
        <v>89</v>
      </c>
      <c r="F290" t="s">
        <v>55</v>
      </c>
      <c r="G290" t="s">
        <v>240</v>
      </c>
      <c r="H290" t="s">
        <v>241</v>
      </c>
      <c r="I290" t="s">
        <v>126</v>
      </c>
      <c r="J290" t="s">
        <v>127</v>
      </c>
      <c r="K290" t="s">
        <v>93</v>
      </c>
      <c r="L290" t="s">
        <v>94</v>
      </c>
      <c r="M290" t="s">
        <v>95</v>
      </c>
      <c r="N290">
        <v>196</v>
      </c>
      <c r="O290">
        <v>1368.86</v>
      </c>
      <c r="P290">
        <f t="shared" si="3"/>
        <v>268296.56</v>
      </c>
      <c r="Q290">
        <v>17</v>
      </c>
      <c r="R290">
        <v>18</v>
      </c>
      <c r="S290">
        <f t="shared" si="5"/>
        <v>1</v>
      </c>
      <c r="T290" t="str">
        <f t="shared" si="4"/>
        <v>No</v>
      </c>
      <c r="U290">
        <v>1882</v>
      </c>
      <c r="V290">
        <v>135</v>
      </c>
      <c r="W290">
        <v>179</v>
      </c>
      <c r="X290">
        <v>5</v>
      </c>
      <c r="Y290">
        <v>7</v>
      </c>
      <c r="Z290">
        <v>925.11</v>
      </c>
      <c r="AA290">
        <v>6660</v>
      </c>
      <c r="AB290">
        <v>0.97</v>
      </c>
    </row>
    <row r="291" spans="1:28" x14ac:dyDescent="0.3">
      <c r="A291" t="s">
        <v>461</v>
      </c>
      <c r="B291">
        <v>45588</v>
      </c>
      <c r="C291" t="s">
        <v>122</v>
      </c>
      <c r="D291" t="s">
        <v>123</v>
      </c>
      <c r="E291" t="s">
        <v>89</v>
      </c>
      <c r="F291" t="s">
        <v>117</v>
      </c>
      <c r="G291" t="s">
        <v>201</v>
      </c>
      <c r="H291" t="s">
        <v>202</v>
      </c>
      <c r="I291" t="s">
        <v>203</v>
      </c>
      <c r="J291" t="s">
        <v>127</v>
      </c>
      <c r="K291" t="s">
        <v>178</v>
      </c>
      <c r="L291" t="s">
        <v>179</v>
      </c>
      <c r="M291" t="s">
        <v>62</v>
      </c>
      <c r="N291">
        <v>458</v>
      </c>
      <c r="O291">
        <v>2410.27</v>
      </c>
      <c r="P291">
        <f t="shared" si="3"/>
        <v>1103903.6599999999</v>
      </c>
      <c r="Q291">
        <v>21</v>
      </c>
      <c r="R291">
        <v>30</v>
      </c>
      <c r="S291">
        <f t="shared" si="5"/>
        <v>9</v>
      </c>
      <c r="T291" t="str">
        <f t="shared" si="4"/>
        <v>No</v>
      </c>
      <c r="U291">
        <v>670</v>
      </c>
      <c r="V291">
        <v>337</v>
      </c>
      <c r="W291">
        <v>486</v>
      </c>
      <c r="X291">
        <v>8</v>
      </c>
      <c r="Y291">
        <v>12</v>
      </c>
      <c r="Z291">
        <v>1632.92</v>
      </c>
      <c r="AA291">
        <v>6844</v>
      </c>
      <c r="AB291">
        <v>0.79</v>
      </c>
    </row>
    <row r="292" spans="1:28" x14ac:dyDescent="0.3">
      <c r="A292" t="s">
        <v>462</v>
      </c>
      <c r="B292">
        <v>45589</v>
      </c>
      <c r="C292" t="s">
        <v>170</v>
      </c>
      <c r="D292" t="s">
        <v>171</v>
      </c>
      <c r="E292" t="s">
        <v>116</v>
      </c>
      <c r="F292" t="s">
        <v>102</v>
      </c>
      <c r="G292" t="s">
        <v>103</v>
      </c>
      <c r="H292" t="s">
        <v>104</v>
      </c>
      <c r="I292" t="s">
        <v>47</v>
      </c>
      <c r="J292" t="s">
        <v>79</v>
      </c>
      <c r="K292" t="s">
        <v>38</v>
      </c>
      <c r="L292" t="s">
        <v>39</v>
      </c>
      <c r="M292" t="s">
        <v>40</v>
      </c>
      <c r="N292">
        <v>500</v>
      </c>
      <c r="O292">
        <v>1693.2</v>
      </c>
      <c r="P292">
        <f t="shared" si="3"/>
        <v>846600</v>
      </c>
      <c r="Q292">
        <v>13</v>
      </c>
      <c r="R292">
        <v>14</v>
      </c>
      <c r="S292">
        <f t="shared" si="5"/>
        <v>1</v>
      </c>
      <c r="T292" t="str">
        <f t="shared" si="4"/>
        <v>No</v>
      </c>
      <c r="U292">
        <v>1737</v>
      </c>
      <c r="V292">
        <v>269</v>
      </c>
      <c r="W292">
        <v>381</v>
      </c>
      <c r="X292">
        <v>7</v>
      </c>
      <c r="Y292">
        <v>10</v>
      </c>
      <c r="Z292">
        <v>1193.98</v>
      </c>
      <c r="AA292">
        <v>5667</v>
      </c>
      <c r="AB292">
        <v>0.98</v>
      </c>
    </row>
    <row r="293" spans="1:28" x14ac:dyDescent="0.3">
      <c r="A293" t="s">
        <v>463</v>
      </c>
      <c r="B293">
        <v>45591</v>
      </c>
      <c r="C293" t="s">
        <v>230</v>
      </c>
      <c r="D293" t="s">
        <v>231</v>
      </c>
      <c r="E293" t="s">
        <v>89</v>
      </c>
      <c r="F293" t="s">
        <v>117</v>
      </c>
      <c r="G293" t="s">
        <v>254</v>
      </c>
      <c r="H293" t="s">
        <v>255</v>
      </c>
      <c r="I293" t="s">
        <v>58</v>
      </c>
      <c r="J293" t="s">
        <v>59</v>
      </c>
      <c r="K293" t="s">
        <v>97</v>
      </c>
      <c r="L293" t="s">
        <v>98</v>
      </c>
      <c r="M293" t="s">
        <v>51</v>
      </c>
      <c r="N293">
        <v>978</v>
      </c>
      <c r="O293">
        <v>1363.95</v>
      </c>
      <c r="P293">
        <f t="shared" si="3"/>
        <v>1333943.1000000001</v>
      </c>
      <c r="Q293">
        <v>20</v>
      </c>
      <c r="R293">
        <v>17</v>
      </c>
      <c r="S293">
        <f t="shared" si="5"/>
        <v>0</v>
      </c>
      <c r="T293" t="str">
        <f t="shared" si="4"/>
        <v>Yes</v>
      </c>
      <c r="U293">
        <v>981</v>
      </c>
      <c r="V293">
        <v>1334</v>
      </c>
      <c r="W293">
        <v>1193</v>
      </c>
      <c r="X293">
        <v>5</v>
      </c>
      <c r="Y293">
        <v>7</v>
      </c>
      <c r="Z293">
        <v>942.12</v>
      </c>
      <c r="AA293">
        <v>5992</v>
      </c>
      <c r="AB293">
        <v>0.97</v>
      </c>
    </row>
    <row r="294" spans="1:28" x14ac:dyDescent="0.3">
      <c r="A294" t="s">
        <v>464</v>
      </c>
      <c r="B294">
        <v>45594</v>
      </c>
      <c r="C294" t="s">
        <v>106</v>
      </c>
      <c r="D294" t="s">
        <v>107</v>
      </c>
      <c r="E294" t="s">
        <v>76</v>
      </c>
      <c r="F294" t="s">
        <v>44</v>
      </c>
      <c r="G294" t="s">
        <v>119</v>
      </c>
      <c r="H294" t="s">
        <v>120</v>
      </c>
      <c r="I294" t="s">
        <v>58</v>
      </c>
      <c r="J294" t="s">
        <v>59</v>
      </c>
      <c r="K294" t="s">
        <v>80</v>
      </c>
      <c r="L294" t="s">
        <v>81</v>
      </c>
      <c r="M294" t="s">
        <v>40</v>
      </c>
      <c r="N294">
        <v>660</v>
      </c>
      <c r="O294">
        <v>2427.83</v>
      </c>
      <c r="P294">
        <f t="shared" si="3"/>
        <v>1602367.8</v>
      </c>
      <c r="Q294">
        <v>7</v>
      </c>
      <c r="R294">
        <v>11</v>
      </c>
      <c r="S294">
        <f t="shared" si="5"/>
        <v>4</v>
      </c>
      <c r="T294" t="str">
        <f t="shared" si="4"/>
        <v>No</v>
      </c>
      <c r="U294">
        <v>1692</v>
      </c>
      <c r="V294">
        <v>461</v>
      </c>
      <c r="W294">
        <v>585</v>
      </c>
      <c r="X294">
        <v>7</v>
      </c>
      <c r="Y294">
        <v>10</v>
      </c>
      <c r="Z294">
        <v>1873.19</v>
      </c>
      <c r="AA294">
        <v>3201</v>
      </c>
      <c r="AB294">
        <v>0.82</v>
      </c>
    </row>
    <row r="295" spans="1:28" x14ac:dyDescent="0.3">
      <c r="A295" t="s">
        <v>465</v>
      </c>
      <c r="B295">
        <v>45594</v>
      </c>
      <c r="C295" t="s">
        <v>170</v>
      </c>
      <c r="D295" t="s">
        <v>171</v>
      </c>
      <c r="E295" t="s">
        <v>116</v>
      </c>
      <c r="F295" t="s">
        <v>55</v>
      </c>
      <c r="G295" t="s">
        <v>254</v>
      </c>
      <c r="H295" t="s">
        <v>255</v>
      </c>
      <c r="I295" t="s">
        <v>58</v>
      </c>
      <c r="J295" t="s">
        <v>59</v>
      </c>
      <c r="K295" t="s">
        <v>38</v>
      </c>
      <c r="L295" t="s">
        <v>39</v>
      </c>
      <c r="M295" t="s">
        <v>40</v>
      </c>
      <c r="N295">
        <v>793</v>
      </c>
      <c r="O295">
        <v>1776.14</v>
      </c>
      <c r="P295">
        <f t="shared" si="3"/>
        <v>1408479.02</v>
      </c>
      <c r="Q295">
        <v>6</v>
      </c>
      <c r="R295">
        <v>12</v>
      </c>
      <c r="S295">
        <f t="shared" si="5"/>
        <v>6</v>
      </c>
      <c r="T295" t="str">
        <f t="shared" si="4"/>
        <v>No</v>
      </c>
      <c r="U295">
        <v>2725</v>
      </c>
      <c r="V295">
        <v>542</v>
      </c>
      <c r="W295">
        <v>486</v>
      </c>
      <c r="X295">
        <v>7</v>
      </c>
      <c r="Y295">
        <v>10</v>
      </c>
      <c r="Z295">
        <v>1074.73</v>
      </c>
      <c r="AA295">
        <v>4574</v>
      </c>
      <c r="AB295">
        <v>0.98</v>
      </c>
    </row>
    <row r="296" spans="1:28" x14ac:dyDescent="0.3">
      <c r="A296" t="s">
        <v>466</v>
      </c>
      <c r="B296">
        <v>45596</v>
      </c>
      <c r="C296" t="s">
        <v>122</v>
      </c>
      <c r="D296" t="s">
        <v>123</v>
      </c>
      <c r="E296" t="s">
        <v>89</v>
      </c>
      <c r="F296" t="s">
        <v>33</v>
      </c>
      <c r="G296" t="s">
        <v>138</v>
      </c>
      <c r="H296" t="s">
        <v>139</v>
      </c>
      <c r="I296" t="s">
        <v>47</v>
      </c>
      <c r="J296" t="s">
        <v>48</v>
      </c>
      <c r="K296" t="s">
        <v>93</v>
      </c>
      <c r="L296" t="s">
        <v>94</v>
      </c>
      <c r="M296" t="s">
        <v>95</v>
      </c>
      <c r="N296">
        <v>170</v>
      </c>
      <c r="O296">
        <v>1918.12</v>
      </c>
      <c r="P296">
        <f t="shared" si="3"/>
        <v>326080.39999999997</v>
      </c>
      <c r="Q296">
        <v>15</v>
      </c>
      <c r="R296">
        <v>15</v>
      </c>
      <c r="S296">
        <f t="shared" si="5"/>
        <v>0</v>
      </c>
      <c r="T296" t="str">
        <f t="shared" si="4"/>
        <v>Yes</v>
      </c>
      <c r="U296">
        <v>1696</v>
      </c>
      <c r="V296">
        <v>193</v>
      </c>
      <c r="W296">
        <v>251</v>
      </c>
      <c r="X296">
        <v>8</v>
      </c>
      <c r="Y296">
        <v>12</v>
      </c>
      <c r="Z296">
        <v>1430.91</v>
      </c>
      <c r="AA296">
        <v>2673</v>
      </c>
      <c r="AB296">
        <v>0.88</v>
      </c>
    </row>
    <row r="297" spans="1:28" x14ac:dyDescent="0.3">
      <c r="A297" t="s">
        <v>467</v>
      </c>
      <c r="B297">
        <v>45598</v>
      </c>
      <c r="C297" t="s">
        <v>230</v>
      </c>
      <c r="D297" t="s">
        <v>231</v>
      </c>
      <c r="E297" t="s">
        <v>89</v>
      </c>
      <c r="F297" t="s">
        <v>55</v>
      </c>
      <c r="G297" t="s">
        <v>77</v>
      </c>
      <c r="H297" t="s">
        <v>78</v>
      </c>
      <c r="I297" t="s">
        <v>47</v>
      </c>
      <c r="J297" t="s">
        <v>79</v>
      </c>
      <c r="K297" t="s">
        <v>97</v>
      </c>
      <c r="L297" t="s">
        <v>98</v>
      </c>
      <c r="M297" t="s">
        <v>51</v>
      </c>
      <c r="N297">
        <v>436</v>
      </c>
      <c r="O297">
        <v>1693.45</v>
      </c>
      <c r="P297">
        <f t="shared" si="3"/>
        <v>738344.20000000007</v>
      </c>
      <c r="Q297">
        <v>15</v>
      </c>
      <c r="R297">
        <v>14</v>
      </c>
      <c r="S297">
        <f t="shared" si="5"/>
        <v>0</v>
      </c>
      <c r="T297" t="str">
        <f t="shared" si="4"/>
        <v>Yes</v>
      </c>
      <c r="U297">
        <v>2361</v>
      </c>
      <c r="V297">
        <v>325</v>
      </c>
      <c r="W297">
        <v>374</v>
      </c>
      <c r="X297">
        <v>5</v>
      </c>
      <c r="Y297">
        <v>7</v>
      </c>
      <c r="Z297">
        <v>1321.54</v>
      </c>
      <c r="AA297">
        <v>1969</v>
      </c>
      <c r="AB297">
        <v>0.76</v>
      </c>
    </row>
    <row r="298" spans="1:28" x14ac:dyDescent="0.3">
      <c r="A298" t="s">
        <v>468</v>
      </c>
      <c r="B298">
        <v>45598</v>
      </c>
      <c r="C298" t="s">
        <v>210</v>
      </c>
      <c r="D298" t="s">
        <v>211</v>
      </c>
      <c r="E298" t="s">
        <v>66</v>
      </c>
      <c r="F298" t="s">
        <v>102</v>
      </c>
      <c r="G298" t="s">
        <v>225</v>
      </c>
      <c r="H298" t="s">
        <v>226</v>
      </c>
      <c r="I298" t="s">
        <v>36</v>
      </c>
      <c r="J298" t="s">
        <v>37</v>
      </c>
      <c r="K298" t="s">
        <v>70</v>
      </c>
      <c r="L298" t="s">
        <v>71</v>
      </c>
      <c r="M298" t="s">
        <v>72</v>
      </c>
      <c r="N298">
        <v>857</v>
      </c>
      <c r="O298">
        <v>28.97</v>
      </c>
      <c r="P298">
        <f t="shared" si="3"/>
        <v>24827.289999999997</v>
      </c>
      <c r="Q298">
        <v>22</v>
      </c>
      <c r="R298">
        <v>22</v>
      </c>
      <c r="S298">
        <f t="shared" si="5"/>
        <v>0</v>
      </c>
      <c r="T298" t="str">
        <f t="shared" si="4"/>
        <v>Yes</v>
      </c>
      <c r="U298">
        <v>467</v>
      </c>
      <c r="V298">
        <v>890</v>
      </c>
      <c r="W298">
        <v>1077</v>
      </c>
      <c r="X298">
        <v>1.2</v>
      </c>
      <c r="Y298">
        <v>2</v>
      </c>
      <c r="Z298">
        <v>18.79</v>
      </c>
      <c r="AA298">
        <v>5987</v>
      </c>
      <c r="AB298">
        <v>0.95</v>
      </c>
    </row>
    <row r="299" spans="1:28" x14ac:dyDescent="0.3">
      <c r="A299" t="s">
        <v>469</v>
      </c>
      <c r="B299">
        <v>45604</v>
      </c>
      <c r="C299" t="s">
        <v>64</v>
      </c>
      <c r="D299" t="s">
        <v>65</v>
      </c>
      <c r="E299" t="s">
        <v>66</v>
      </c>
      <c r="F299" t="s">
        <v>55</v>
      </c>
      <c r="G299" t="s">
        <v>129</v>
      </c>
      <c r="H299" t="s">
        <v>130</v>
      </c>
      <c r="I299" t="s">
        <v>47</v>
      </c>
      <c r="J299" t="s">
        <v>79</v>
      </c>
      <c r="K299" t="s">
        <v>49</v>
      </c>
      <c r="L299" t="s">
        <v>50</v>
      </c>
      <c r="M299" t="s">
        <v>51</v>
      </c>
      <c r="N299">
        <v>131</v>
      </c>
      <c r="O299">
        <v>80.290000000000006</v>
      </c>
      <c r="P299">
        <f t="shared" si="3"/>
        <v>10517.990000000002</v>
      </c>
      <c r="Q299">
        <v>22</v>
      </c>
      <c r="R299">
        <v>29</v>
      </c>
      <c r="S299">
        <f t="shared" si="5"/>
        <v>7</v>
      </c>
      <c r="T299" t="str">
        <f t="shared" si="4"/>
        <v>No</v>
      </c>
      <c r="U299">
        <v>541</v>
      </c>
      <c r="V299">
        <v>153</v>
      </c>
      <c r="W299">
        <v>146</v>
      </c>
      <c r="X299">
        <v>2</v>
      </c>
      <c r="Y299">
        <v>3</v>
      </c>
      <c r="Z299">
        <v>48.23</v>
      </c>
      <c r="AA299">
        <v>686</v>
      </c>
      <c r="AB299">
        <v>0.97</v>
      </c>
    </row>
    <row r="300" spans="1:28" x14ac:dyDescent="0.3">
      <c r="A300" t="s">
        <v>470</v>
      </c>
      <c r="B300">
        <v>45606</v>
      </c>
      <c r="C300" t="s">
        <v>100</v>
      </c>
      <c r="D300" t="s">
        <v>101</v>
      </c>
      <c r="E300" t="s">
        <v>76</v>
      </c>
      <c r="F300" t="s">
        <v>44</v>
      </c>
      <c r="G300" t="s">
        <v>147</v>
      </c>
      <c r="H300" t="s">
        <v>148</v>
      </c>
      <c r="I300" t="s">
        <v>58</v>
      </c>
      <c r="J300" t="s">
        <v>59</v>
      </c>
      <c r="K300" t="s">
        <v>80</v>
      </c>
      <c r="L300" t="s">
        <v>81</v>
      </c>
      <c r="M300" t="s">
        <v>40</v>
      </c>
      <c r="N300">
        <v>692</v>
      </c>
      <c r="O300">
        <v>851.78</v>
      </c>
      <c r="P300">
        <f t="shared" si="3"/>
        <v>589431.76</v>
      </c>
      <c r="Q300">
        <v>17</v>
      </c>
      <c r="R300">
        <v>23</v>
      </c>
      <c r="S300">
        <f t="shared" si="5"/>
        <v>6</v>
      </c>
      <c r="T300" t="str">
        <f t="shared" si="4"/>
        <v>No</v>
      </c>
      <c r="U300">
        <v>541</v>
      </c>
      <c r="V300">
        <v>366</v>
      </c>
      <c r="W300">
        <v>463</v>
      </c>
      <c r="X300">
        <v>4</v>
      </c>
      <c r="Y300">
        <v>6</v>
      </c>
      <c r="Z300">
        <v>575.66</v>
      </c>
      <c r="AA300">
        <v>6628</v>
      </c>
      <c r="AB300">
        <v>0.95</v>
      </c>
    </row>
    <row r="301" spans="1:28" x14ac:dyDescent="0.3">
      <c r="A301" t="s">
        <v>471</v>
      </c>
      <c r="B301">
        <v>45610</v>
      </c>
      <c r="C301" t="s">
        <v>100</v>
      </c>
      <c r="D301" t="s">
        <v>101</v>
      </c>
      <c r="E301" t="s">
        <v>76</v>
      </c>
      <c r="F301" t="s">
        <v>102</v>
      </c>
      <c r="G301" t="s">
        <v>300</v>
      </c>
      <c r="H301" t="s">
        <v>301</v>
      </c>
      <c r="I301" t="s">
        <v>47</v>
      </c>
      <c r="J301" t="s">
        <v>85</v>
      </c>
      <c r="K301" t="s">
        <v>70</v>
      </c>
      <c r="L301" t="s">
        <v>71</v>
      </c>
      <c r="M301" t="s">
        <v>72</v>
      </c>
      <c r="N301">
        <v>425</v>
      </c>
      <c r="O301">
        <v>910.79</v>
      </c>
      <c r="P301">
        <f t="shared" si="3"/>
        <v>387085.75</v>
      </c>
      <c r="Q301">
        <v>27</v>
      </c>
      <c r="R301">
        <v>26</v>
      </c>
      <c r="S301">
        <f t="shared" si="5"/>
        <v>0</v>
      </c>
      <c r="T301" t="str">
        <f t="shared" si="4"/>
        <v>Yes</v>
      </c>
      <c r="U301">
        <v>2636</v>
      </c>
      <c r="V301">
        <v>594</v>
      </c>
      <c r="W301">
        <v>597</v>
      </c>
      <c r="X301">
        <v>4</v>
      </c>
      <c r="Y301">
        <v>6</v>
      </c>
      <c r="Z301">
        <v>658.43</v>
      </c>
      <c r="AA301">
        <v>2295</v>
      </c>
      <c r="AB301">
        <v>0.97</v>
      </c>
    </row>
    <row r="302" spans="1:28" x14ac:dyDescent="0.3">
      <c r="A302" t="s">
        <v>472</v>
      </c>
      <c r="B302">
        <v>45611</v>
      </c>
      <c r="C302" t="s">
        <v>42</v>
      </c>
      <c r="D302" t="s">
        <v>43</v>
      </c>
      <c r="E302" t="s">
        <v>32</v>
      </c>
      <c r="F302" t="s">
        <v>102</v>
      </c>
      <c r="G302" t="s">
        <v>201</v>
      </c>
      <c r="H302" t="s">
        <v>202</v>
      </c>
      <c r="I302" t="s">
        <v>203</v>
      </c>
      <c r="J302" t="s">
        <v>127</v>
      </c>
      <c r="K302" t="s">
        <v>38</v>
      </c>
      <c r="L302" t="s">
        <v>39</v>
      </c>
      <c r="M302" t="s">
        <v>40</v>
      </c>
      <c r="N302">
        <v>950</v>
      </c>
      <c r="O302">
        <v>685.93</v>
      </c>
      <c r="P302">
        <f t="shared" si="3"/>
        <v>651633.5</v>
      </c>
      <c r="Q302">
        <v>6</v>
      </c>
      <c r="R302">
        <v>10</v>
      </c>
      <c r="S302">
        <f t="shared" si="5"/>
        <v>4</v>
      </c>
      <c r="T302" t="str">
        <f t="shared" si="4"/>
        <v>No</v>
      </c>
      <c r="U302">
        <v>484</v>
      </c>
      <c r="V302">
        <v>724</v>
      </c>
      <c r="W302">
        <v>852</v>
      </c>
      <c r="X302">
        <v>3.5</v>
      </c>
      <c r="Y302">
        <v>5</v>
      </c>
      <c r="Z302">
        <v>450.36</v>
      </c>
      <c r="AA302">
        <v>7965</v>
      </c>
      <c r="AB302">
        <v>0.84</v>
      </c>
    </row>
    <row r="303" spans="1:28" x14ac:dyDescent="0.3">
      <c r="A303" t="s">
        <v>473</v>
      </c>
      <c r="B303">
        <v>45614</v>
      </c>
      <c r="C303" t="s">
        <v>53</v>
      </c>
      <c r="D303" t="s">
        <v>54</v>
      </c>
      <c r="E303" t="s">
        <v>32</v>
      </c>
      <c r="F303" t="s">
        <v>117</v>
      </c>
      <c r="G303" t="s">
        <v>111</v>
      </c>
      <c r="H303" t="s">
        <v>112</v>
      </c>
      <c r="I303" t="s">
        <v>58</v>
      </c>
      <c r="J303" t="s">
        <v>69</v>
      </c>
      <c r="K303" t="s">
        <v>38</v>
      </c>
      <c r="L303" t="s">
        <v>39</v>
      </c>
      <c r="M303" t="s">
        <v>40</v>
      </c>
      <c r="N303">
        <v>695</v>
      </c>
      <c r="O303">
        <v>460.59</v>
      </c>
      <c r="P303">
        <f t="shared" si="3"/>
        <v>320110.05</v>
      </c>
      <c r="Q303">
        <v>7</v>
      </c>
      <c r="R303">
        <v>8</v>
      </c>
      <c r="S303">
        <f t="shared" si="5"/>
        <v>1</v>
      </c>
      <c r="T303" t="str">
        <f t="shared" si="4"/>
        <v>No</v>
      </c>
      <c r="U303">
        <v>2983</v>
      </c>
      <c r="V303">
        <v>811</v>
      </c>
      <c r="W303">
        <v>1162</v>
      </c>
      <c r="X303">
        <v>3</v>
      </c>
      <c r="Y303">
        <v>5</v>
      </c>
      <c r="Z303">
        <v>335.71</v>
      </c>
      <c r="AA303">
        <v>4241</v>
      </c>
      <c r="AB303">
        <v>0.98</v>
      </c>
    </row>
    <row r="304" spans="1:28" x14ac:dyDescent="0.3">
      <c r="A304" t="s">
        <v>474</v>
      </c>
      <c r="B304">
        <v>45614</v>
      </c>
      <c r="C304" t="s">
        <v>42</v>
      </c>
      <c r="D304" t="s">
        <v>43</v>
      </c>
      <c r="E304" t="s">
        <v>32</v>
      </c>
      <c r="F304" t="s">
        <v>33</v>
      </c>
      <c r="G304" t="s">
        <v>300</v>
      </c>
      <c r="H304" t="s">
        <v>301</v>
      </c>
      <c r="I304" t="s">
        <v>47</v>
      </c>
      <c r="J304" t="s">
        <v>85</v>
      </c>
      <c r="K304" t="s">
        <v>60</v>
      </c>
      <c r="L304" t="s">
        <v>61</v>
      </c>
      <c r="M304" t="s">
        <v>62</v>
      </c>
      <c r="N304">
        <v>870</v>
      </c>
      <c r="O304">
        <v>691.86</v>
      </c>
      <c r="P304">
        <f t="shared" si="3"/>
        <v>601918.20000000007</v>
      </c>
      <c r="Q304">
        <v>22</v>
      </c>
      <c r="R304">
        <v>23</v>
      </c>
      <c r="S304">
        <f t="shared" si="5"/>
        <v>1</v>
      </c>
      <c r="T304" t="str">
        <f t="shared" si="4"/>
        <v>No</v>
      </c>
      <c r="U304">
        <v>419</v>
      </c>
      <c r="V304">
        <v>752</v>
      </c>
      <c r="W304">
        <v>991</v>
      </c>
      <c r="X304">
        <v>3.5</v>
      </c>
      <c r="Y304">
        <v>5</v>
      </c>
      <c r="Z304">
        <v>515.46</v>
      </c>
      <c r="AA304">
        <v>5079</v>
      </c>
      <c r="AB304">
        <v>0.91</v>
      </c>
    </row>
    <row r="305" spans="1:28" x14ac:dyDescent="0.3">
      <c r="A305" t="s">
        <v>475</v>
      </c>
      <c r="B305">
        <v>45617</v>
      </c>
      <c r="C305" t="s">
        <v>53</v>
      </c>
      <c r="D305" t="s">
        <v>54</v>
      </c>
      <c r="E305" t="s">
        <v>32</v>
      </c>
      <c r="F305" t="s">
        <v>44</v>
      </c>
      <c r="G305" t="s">
        <v>167</v>
      </c>
      <c r="H305" t="s">
        <v>168</v>
      </c>
      <c r="I305" t="s">
        <v>47</v>
      </c>
      <c r="J305" t="s">
        <v>48</v>
      </c>
      <c r="K305" t="s">
        <v>49</v>
      </c>
      <c r="L305" t="s">
        <v>50</v>
      </c>
      <c r="M305" t="s">
        <v>51</v>
      </c>
      <c r="N305">
        <v>507</v>
      </c>
      <c r="O305">
        <v>473.3</v>
      </c>
      <c r="P305">
        <f t="shared" si="3"/>
        <v>239963.1</v>
      </c>
      <c r="Q305">
        <v>18</v>
      </c>
      <c r="R305">
        <v>19</v>
      </c>
      <c r="S305">
        <f t="shared" si="5"/>
        <v>1</v>
      </c>
      <c r="T305" t="str">
        <f t="shared" si="4"/>
        <v>No</v>
      </c>
      <c r="U305">
        <v>2118</v>
      </c>
      <c r="V305">
        <v>221</v>
      </c>
      <c r="W305">
        <v>243</v>
      </c>
      <c r="X305">
        <v>3</v>
      </c>
      <c r="Y305">
        <v>5</v>
      </c>
      <c r="Z305">
        <v>310.79000000000002</v>
      </c>
      <c r="AA305">
        <v>6058</v>
      </c>
      <c r="AB305">
        <v>0.87</v>
      </c>
    </row>
    <row r="306" spans="1:28" x14ac:dyDescent="0.3">
      <c r="A306" t="s">
        <v>476</v>
      </c>
      <c r="B306">
        <v>45619</v>
      </c>
      <c r="C306" t="s">
        <v>109</v>
      </c>
      <c r="D306" t="s">
        <v>110</v>
      </c>
      <c r="E306" t="s">
        <v>32</v>
      </c>
      <c r="F306" t="s">
        <v>33</v>
      </c>
      <c r="G306" t="s">
        <v>186</v>
      </c>
      <c r="H306" t="s">
        <v>187</v>
      </c>
      <c r="I306" t="s">
        <v>47</v>
      </c>
      <c r="J306" t="s">
        <v>48</v>
      </c>
      <c r="K306" t="s">
        <v>97</v>
      </c>
      <c r="L306" t="s">
        <v>98</v>
      </c>
      <c r="M306" t="s">
        <v>51</v>
      </c>
      <c r="N306">
        <v>819</v>
      </c>
      <c r="O306">
        <v>2396.7399999999998</v>
      </c>
      <c r="P306">
        <f t="shared" si="3"/>
        <v>1962930.0599999998</v>
      </c>
      <c r="Q306">
        <v>13</v>
      </c>
      <c r="R306">
        <v>14</v>
      </c>
      <c r="S306">
        <f t="shared" si="5"/>
        <v>1</v>
      </c>
      <c r="T306" t="str">
        <f t="shared" si="4"/>
        <v>No</v>
      </c>
      <c r="U306">
        <v>1882</v>
      </c>
      <c r="V306">
        <v>607</v>
      </c>
      <c r="W306">
        <v>803</v>
      </c>
      <c r="X306">
        <v>6</v>
      </c>
      <c r="Y306">
        <v>9</v>
      </c>
      <c r="Z306">
        <v>1563.71</v>
      </c>
      <c r="AA306">
        <v>3621</v>
      </c>
      <c r="AB306">
        <v>0.93</v>
      </c>
    </row>
    <row r="307" spans="1:28" x14ac:dyDescent="0.3">
      <c r="A307" t="s">
        <v>477</v>
      </c>
      <c r="B307">
        <v>45622</v>
      </c>
      <c r="C307" t="s">
        <v>100</v>
      </c>
      <c r="D307" t="s">
        <v>101</v>
      </c>
      <c r="E307" t="s">
        <v>76</v>
      </c>
      <c r="F307" t="s">
        <v>55</v>
      </c>
      <c r="G307" t="s">
        <v>45</v>
      </c>
      <c r="H307" t="s">
        <v>46</v>
      </c>
      <c r="I307" t="s">
        <v>47</v>
      </c>
      <c r="J307" t="s">
        <v>48</v>
      </c>
      <c r="K307" t="s">
        <v>80</v>
      </c>
      <c r="L307" t="s">
        <v>81</v>
      </c>
      <c r="M307" t="s">
        <v>40</v>
      </c>
      <c r="N307">
        <v>950</v>
      </c>
      <c r="O307">
        <v>777.6</v>
      </c>
      <c r="P307">
        <f t="shared" si="3"/>
        <v>738720</v>
      </c>
      <c r="Q307">
        <v>13</v>
      </c>
      <c r="R307">
        <v>12</v>
      </c>
      <c r="S307">
        <f t="shared" si="5"/>
        <v>0</v>
      </c>
      <c r="T307" t="str">
        <f t="shared" si="4"/>
        <v>Yes</v>
      </c>
      <c r="U307">
        <v>1042</v>
      </c>
      <c r="V307">
        <v>451</v>
      </c>
      <c r="W307">
        <v>462</v>
      </c>
      <c r="X307">
        <v>4</v>
      </c>
      <c r="Y307">
        <v>6</v>
      </c>
      <c r="Z307">
        <v>505.06</v>
      </c>
      <c r="AA307">
        <v>7410</v>
      </c>
      <c r="AB307">
        <v>0.89</v>
      </c>
    </row>
    <row r="308" spans="1:28" x14ac:dyDescent="0.3">
      <c r="A308" t="s">
        <v>478</v>
      </c>
      <c r="B308">
        <v>45624</v>
      </c>
      <c r="C308" t="s">
        <v>74</v>
      </c>
      <c r="D308" t="s">
        <v>75</v>
      </c>
      <c r="E308" t="s">
        <v>76</v>
      </c>
      <c r="F308" t="s">
        <v>117</v>
      </c>
      <c r="G308" t="s">
        <v>138</v>
      </c>
      <c r="H308" t="s">
        <v>139</v>
      </c>
      <c r="I308" t="s">
        <v>47</v>
      </c>
      <c r="J308" t="s">
        <v>48</v>
      </c>
      <c r="K308" t="s">
        <v>70</v>
      </c>
      <c r="L308" t="s">
        <v>71</v>
      </c>
      <c r="M308" t="s">
        <v>72</v>
      </c>
      <c r="N308">
        <v>326</v>
      </c>
      <c r="O308">
        <v>351.09</v>
      </c>
      <c r="P308">
        <f t="shared" si="3"/>
        <v>114455.34</v>
      </c>
      <c r="Q308">
        <v>6</v>
      </c>
      <c r="R308">
        <v>11</v>
      </c>
      <c r="S308">
        <f t="shared" si="5"/>
        <v>5</v>
      </c>
      <c r="T308" t="str">
        <f t="shared" si="4"/>
        <v>No</v>
      </c>
      <c r="U308">
        <v>558</v>
      </c>
      <c r="V308">
        <v>133</v>
      </c>
      <c r="W308">
        <v>133</v>
      </c>
      <c r="X308">
        <v>2</v>
      </c>
      <c r="Y308">
        <v>4</v>
      </c>
      <c r="Z308">
        <v>263.14</v>
      </c>
      <c r="AA308">
        <v>1938</v>
      </c>
      <c r="AB308">
        <v>0.76</v>
      </c>
    </row>
    <row r="309" spans="1:28" x14ac:dyDescent="0.3">
      <c r="A309" t="s">
        <v>479</v>
      </c>
      <c r="B309">
        <v>45625</v>
      </c>
      <c r="C309" t="s">
        <v>87</v>
      </c>
      <c r="D309" t="s">
        <v>88</v>
      </c>
      <c r="E309" t="s">
        <v>89</v>
      </c>
      <c r="F309" t="s">
        <v>102</v>
      </c>
      <c r="G309" t="s">
        <v>67</v>
      </c>
      <c r="H309" t="s">
        <v>68</v>
      </c>
      <c r="I309" t="s">
        <v>58</v>
      </c>
      <c r="J309" t="s">
        <v>69</v>
      </c>
      <c r="K309" t="s">
        <v>97</v>
      </c>
      <c r="L309" t="s">
        <v>98</v>
      </c>
      <c r="M309" t="s">
        <v>51</v>
      </c>
      <c r="N309">
        <v>672</v>
      </c>
      <c r="O309">
        <v>8018.05</v>
      </c>
      <c r="P309">
        <f t="shared" si="3"/>
        <v>5388129.6000000006</v>
      </c>
      <c r="Q309">
        <v>30</v>
      </c>
      <c r="R309">
        <v>29</v>
      </c>
      <c r="S309">
        <f t="shared" si="5"/>
        <v>0</v>
      </c>
      <c r="T309" t="str">
        <f t="shared" si="4"/>
        <v>Yes</v>
      </c>
      <c r="U309">
        <v>1053</v>
      </c>
      <c r="V309">
        <v>692</v>
      </c>
      <c r="W309">
        <v>1010</v>
      </c>
      <c r="X309">
        <v>18</v>
      </c>
      <c r="Y309">
        <v>25</v>
      </c>
      <c r="Z309">
        <v>5953.79</v>
      </c>
      <c r="AA309">
        <v>6311</v>
      </c>
      <c r="AB309">
        <v>0.88</v>
      </c>
    </row>
    <row r="310" spans="1:28" x14ac:dyDescent="0.3">
      <c r="A310" t="s">
        <v>480</v>
      </c>
      <c r="B310">
        <v>45625</v>
      </c>
      <c r="C310" t="s">
        <v>64</v>
      </c>
      <c r="D310" t="s">
        <v>65</v>
      </c>
      <c r="E310" t="s">
        <v>66</v>
      </c>
      <c r="F310" t="s">
        <v>44</v>
      </c>
      <c r="G310" t="s">
        <v>45</v>
      </c>
      <c r="H310" t="s">
        <v>46</v>
      </c>
      <c r="I310" t="s">
        <v>47</v>
      </c>
      <c r="J310" t="s">
        <v>48</v>
      </c>
      <c r="K310" t="s">
        <v>49</v>
      </c>
      <c r="L310" t="s">
        <v>50</v>
      </c>
      <c r="M310" t="s">
        <v>51</v>
      </c>
      <c r="N310">
        <v>124</v>
      </c>
      <c r="O310">
        <v>82.74</v>
      </c>
      <c r="P310">
        <f t="shared" si="3"/>
        <v>10259.76</v>
      </c>
      <c r="Q310">
        <v>10</v>
      </c>
      <c r="R310">
        <v>9</v>
      </c>
      <c r="S310">
        <f t="shared" si="5"/>
        <v>0</v>
      </c>
      <c r="T310" t="str">
        <f t="shared" si="4"/>
        <v>Yes</v>
      </c>
      <c r="U310">
        <v>2977</v>
      </c>
      <c r="V310">
        <v>167</v>
      </c>
      <c r="W310">
        <v>164</v>
      </c>
      <c r="X310">
        <v>2</v>
      </c>
      <c r="Y310">
        <v>3</v>
      </c>
      <c r="Z310">
        <v>57.93</v>
      </c>
      <c r="AA310">
        <v>1963</v>
      </c>
      <c r="AB310">
        <v>0.84</v>
      </c>
    </row>
    <row r="311" spans="1:28" x14ac:dyDescent="0.3">
      <c r="A311" t="s">
        <v>481</v>
      </c>
      <c r="B311">
        <v>45628</v>
      </c>
      <c r="C311" t="s">
        <v>114</v>
      </c>
      <c r="D311" t="s">
        <v>115</v>
      </c>
      <c r="E311" t="s">
        <v>116</v>
      </c>
      <c r="F311" t="s">
        <v>33</v>
      </c>
      <c r="G311" t="s">
        <v>218</v>
      </c>
      <c r="H311" t="s">
        <v>219</v>
      </c>
      <c r="I311" t="s">
        <v>58</v>
      </c>
      <c r="J311" t="s">
        <v>59</v>
      </c>
      <c r="K311" t="s">
        <v>60</v>
      </c>
      <c r="L311" t="s">
        <v>61</v>
      </c>
      <c r="M311" t="s">
        <v>62</v>
      </c>
      <c r="N311">
        <v>771</v>
      </c>
      <c r="O311">
        <v>3081.07</v>
      </c>
      <c r="P311">
        <f t="shared" si="3"/>
        <v>2375504.9700000002</v>
      </c>
      <c r="Q311">
        <v>24</v>
      </c>
      <c r="R311">
        <v>26</v>
      </c>
      <c r="S311">
        <f t="shared" si="5"/>
        <v>2</v>
      </c>
      <c r="T311" t="str">
        <f t="shared" si="4"/>
        <v>No</v>
      </c>
      <c r="U311">
        <v>2615</v>
      </c>
      <c r="V311">
        <v>883</v>
      </c>
      <c r="W311">
        <v>1106</v>
      </c>
      <c r="X311">
        <v>11</v>
      </c>
      <c r="Y311">
        <v>15</v>
      </c>
      <c r="Z311">
        <v>2313.9499999999998</v>
      </c>
      <c r="AA311">
        <v>4977</v>
      </c>
      <c r="AB311">
        <v>0.91</v>
      </c>
    </row>
    <row r="312" spans="1:28" x14ac:dyDescent="0.3">
      <c r="A312" t="s">
        <v>482</v>
      </c>
      <c r="B312">
        <v>45629</v>
      </c>
      <c r="C312" t="s">
        <v>100</v>
      </c>
      <c r="D312" t="s">
        <v>101</v>
      </c>
      <c r="E312" t="s">
        <v>76</v>
      </c>
      <c r="F312" t="s">
        <v>102</v>
      </c>
      <c r="G312" t="s">
        <v>124</v>
      </c>
      <c r="H312" t="s">
        <v>125</v>
      </c>
      <c r="I312" t="s">
        <v>126</v>
      </c>
      <c r="J312" t="s">
        <v>127</v>
      </c>
      <c r="K312" t="s">
        <v>80</v>
      </c>
      <c r="L312" t="s">
        <v>81</v>
      </c>
      <c r="M312" t="s">
        <v>40</v>
      </c>
      <c r="N312">
        <v>85</v>
      </c>
      <c r="O312">
        <v>956.09</v>
      </c>
      <c r="P312">
        <f t="shared" si="3"/>
        <v>81267.650000000009</v>
      </c>
      <c r="Q312">
        <v>15</v>
      </c>
      <c r="R312">
        <v>17</v>
      </c>
      <c r="S312">
        <f t="shared" si="5"/>
        <v>2</v>
      </c>
      <c r="T312" t="str">
        <f t="shared" si="4"/>
        <v>No</v>
      </c>
      <c r="U312">
        <v>289</v>
      </c>
      <c r="V312">
        <v>38</v>
      </c>
      <c r="W312">
        <v>47</v>
      </c>
      <c r="X312">
        <v>4</v>
      </c>
      <c r="Y312">
        <v>6</v>
      </c>
      <c r="Z312">
        <v>685.59</v>
      </c>
      <c r="AA312">
        <v>6333</v>
      </c>
      <c r="AB312">
        <v>0.79</v>
      </c>
    </row>
    <row r="313" spans="1:28" x14ac:dyDescent="0.3">
      <c r="A313" t="s">
        <v>483</v>
      </c>
      <c r="B313">
        <v>45630</v>
      </c>
      <c r="C313" t="s">
        <v>74</v>
      </c>
      <c r="D313" t="s">
        <v>75</v>
      </c>
      <c r="E313" t="s">
        <v>76</v>
      </c>
      <c r="F313" t="s">
        <v>44</v>
      </c>
      <c r="G313" t="s">
        <v>138</v>
      </c>
      <c r="H313" t="s">
        <v>139</v>
      </c>
      <c r="I313" t="s">
        <v>47</v>
      </c>
      <c r="J313" t="s">
        <v>48</v>
      </c>
      <c r="K313" t="s">
        <v>80</v>
      </c>
      <c r="L313" t="s">
        <v>81</v>
      </c>
      <c r="M313" t="s">
        <v>40</v>
      </c>
      <c r="N313">
        <v>377</v>
      </c>
      <c r="O313">
        <v>348.01</v>
      </c>
      <c r="P313">
        <f t="shared" si="3"/>
        <v>131199.76999999999</v>
      </c>
      <c r="Q313">
        <v>10</v>
      </c>
      <c r="R313">
        <v>9</v>
      </c>
      <c r="S313">
        <f t="shared" si="5"/>
        <v>0</v>
      </c>
      <c r="T313" t="str">
        <f t="shared" si="4"/>
        <v>Yes</v>
      </c>
      <c r="U313">
        <v>955</v>
      </c>
      <c r="V313">
        <v>214</v>
      </c>
      <c r="W313">
        <v>318</v>
      </c>
      <c r="X313">
        <v>2</v>
      </c>
      <c r="Y313">
        <v>4</v>
      </c>
      <c r="Z313">
        <v>223.5</v>
      </c>
      <c r="AA313">
        <v>679</v>
      </c>
      <c r="AB313">
        <v>0.87</v>
      </c>
    </row>
    <row r="314" spans="1:28" x14ac:dyDescent="0.3">
      <c r="A314" t="s">
        <v>484</v>
      </c>
      <c r="B314">
        <v>45633</v>
      </c>
      <c r="C314" t="s">
        <v>122</v>
      </c>
      <c r="D314" t="s">
        <v>123</v>
      </c>
      <c r="E314" t="s">
        <v>89</v>
      </c>
      <c r="F314" t="s">
        <v>55</v>
      </c>
      <c r="G314" t="s">
        <v>225</v>
      </c>
      <c r="H314" t="s">
        <v>226</v>
      </c>
      <c r="I314" t="s">
        <v>36</v>
      </c>
      <c r="J314" t="s">
        <v>37</v>
      </c>
      <c r="K314" t="s">
        <v>178</v>
      </c>
      <c r="L314" t="s">
        <v>179</v>
      </c>
      <c r="M314" t="s">
        <v>62</v>
      </c>
      <c r="N314">
        <v>505</v>
      </c>
      <c r="O314">
        <v>2035.16</v>
      </c>
      <c r="P314">
        <f t="shared" si="3"/>
        <v>1027755.8</v>
      </c>
      <c r="Q314">
        <v>23</v>
      </c>
      <c r="R314">
        <v>32</v>
      </c>
      <c r="S314">
        <f t="shared" si="5"/>
        <v>9</v>
      </c>
      <c r="T314" t="str">
        <f t="shared" si="4"/>
        <v>No</v>
      </c>
      <c r="U314">
        <v>1179</v>
      </c>
      <c r="V314">
        <v>745</v>
      </c>
      <c r="W314">
        <v>1030</v>
      </c>
      <c r="X314">
        <v>8</v>
      </c>
      <c r="Y314">
        <v>12</v>
      </c>
      <c r="Z314">
        <v>1341.68</v>
      </c>
      <c r="AA314">
        <v>3456</v>
      </c>
      <c r="AB314">
        <v>0.75</v>
      </c>
    </row>
    <row r="315" spans="1:28" x14ac:dyDescent="0.3">
      <c r="A315" t="s">
        <v>485</v>
      </c>
      <c r="B315">
        <v>45633</v>
      </c>
      <c r="C315" t="s">
        <v>100</v>
      </c>
      <c r="D315" t="s">
        <v>101</v>
      </c>
      <c r="E315" t="s">
        <v>76</v>
      </c>
      <c r="F315" t="s">
        <v>102</v>
      </c>
      <c r="G315" t="s">
        <v>167</v>
      </c>
      <c r="H315" t="s">
        <v>168</v>
      </c>
      <c r="I315" t="s">
        <v>47</v>
      </c>
      <c r="J315" t="s">
        <v>48</v>
      </c>
      <c r="K315" t="s">
        <v>80</v>
      </c>
      <c r="L315" t="s">
        <v>81</v>
      </c>
      <c r="M315" t="s">
        <v>40</v>
      </c>
      <c r="N315">
        <v>136</v>
      </c>
      <c r="O315">
        <v>881.3</v>
      </c>
      <c r="P315">
        <f t="shared" si="3"/>
        <v>119856.79999999999</v>
      </c>
      <c r="Q315">
        <v>20</v>
      </c>
      <c r="R315">
        <v>20</v>
      </c>
      <c r="S315">
        <f t="shared" si="5"/>
        <v>0</v>
      </c>
      <c r="T315" t="str">
        <f t="shared" si="4"/>
        <v>Yes</v>
      </c>
      <c r="U315">
        <v>2867</v>
      </c>
      <c r="V315">
        <v>152</v>
      </c>
      <c r="W315">
        <v>122</v>
      </c>
      <c r="X315">
        <v>4</v>
      </c>
      <c r="Y315">
        <v>6</v>
      </c>
      <c r="Z315">
        <v>602.96</v>
      </c>
      <c r="AA315">
        <v>1327</v>
      </c>
      <c r="AB315">
        <v>0.89</v>
      </c>
    </row>
    <row r="316" spans="1:28" x14ac:dyDescent="0.3">
      <c r="A316" t="s">
        <v>486</v>
      </c>
      <c r="B316">
        <v>45636</v>
      </c>
      <c r="C316" t="s">
        <v>210</v>
      </c>
      <c r="D316" t="s">
        <v>211</v>
      </c>
      <c r="E316" t="s">
        <v>66</v>
      </c>
      <c r="F316" t="s">
        <v>33</v>
      </c>
      <c r="G316" t="s">
        <v>206</v>
      </c>
      <c r="H316" t="s">
        <v>207</v>
      </c>
      <c r="I316" t="s">
        <v>126</v>
      </c>
      <c r="J316" t="s">
        <v>127</v>
      </c>
      <c r="K316" t="s">
        <v>70</v>
      </c>
      <c r="L316" t="s">
        <v>71</v>
      </c>
      <c r="M316" t="s">
        <v>72</v>
      </c>
      <c r="N316">
        <v>990</v>
      </c>
      <c r="O316">
        <v>26.93</v>
      </c>
      <c r="P316">
        <f t="shared" si="3"/>
        <v>26660.7</v>
      </c>
      <c r="Q316">
        <v>22</v>
      </c>
      <c r="R316">
        <v>23</v>
      </c>
      <c r="S316">
        <f t="shared" si="5"/>
        <v>1</v>
      </c>
      <c r="T316" t="str">
        <f t="shared" si="4"/>
        <v>No</v>
      </c>
      <c r="U316">
        <v>1239</v>
      </c>
      <c r="V316">
        <v>1213</v>
      </c>
      <c r="W316">
        <v>1568</v>
      </c>
      <c r="X316">
        <v>1.2</v>
      </c>
      <c r="Y316">
        <v>2</v>
      </c>
      <c r="Z316">
        <v>19.87</v>
      </c>
      <c r="AA316">
        <v>4505</v>
      </c>
      <c r="AB316">
        <v>0.79</v>
      </c>
    </row>
    <row r="317" spans="1:28" x14ac:dyDescent="0.3">
      <c r="A317" t="s">
        <v>487</v>
      </c>
      <c r="B317">
        <v>45637</v>
      </c>
      <c r="C317" t="s">
        <v>87</v>
      </c>
      <c r="D317" t="s">
        <v>88</v>
      </c>
      <c r="E317" t="s">
        <v>89</v>
      </c>
      <c r="F317" t="s">
        <v>44</v>
      </c>
      <c r="G317" t="s">
        <v>192</v>
      </c>
      <c r="H317" t="s">
        <v>193</v>
      </c>
      <c r="I317" t="s">
        <v>47</v>
      </c>
      <c r="J317" t="s">
        <v>79</v>
      </c>
      <c r="K317" t="s">
        <v>178</v>
      </c>
      <c r="L317" t="s">
        <v>179</v>
      </c>
      <c r="M317" t="s">
        <v>62</v>
      </c>
      <c r="N317">
        <v>395</v>
      </c>
      <c r="O317">
        <v>9454.14</v>
      </c>
      <c r="P317">
        <f t="shared" si="3"/>
        <v>3734385.3</v>
      </c>
      <c r="Q317">
        <v>28</v>
      </c>
      <c r="R317">
        <v>27</v>
      </c>
      <c r="S317">
        <f t="shared" si="5"/>
        <v>0</v>
      </c>
      <c r="T317" t="str">
        <f t="shared" si="4"/>
        <v>Yes</v>
      </c>
      <c r="U317">
        <v>860</v>
      </c>
      <c r="V317">
        <v>369</v>
      </c>
      <c r="W317">
        <v>356</v>
      </c>
      <c r="X317">
        <v>18</v>
      </c>
      <c r="Y317">
        <v>25</v>
      </c>
      <c r="Z317">
        <v>6602.82</v>
      </c>
      <c r="AA317">
        <v>990</v>
      </c>
      <c r="AB317">
        <v>0.97</v>
      </c>
    </row>
    <row r="318" spans="1:28" x14ac:dyDescent="0.3">
      <c r="A318" t="s">
        <v>488</v>
      </c>
      <c r="B318">
        <v>45637</v>
      </c>
      <c r="C318" t="s">
        <v>122</v>
      </c>
      <c r="D318" t="s">
        <v>123</v>
      </c>
      <c r="E318" t="s">
        <v>89</v>
      </c>
      <c r="F318" t="s">
        <v>33</v>
      </c>
      <c r="G318" t="s">
        <v>119</v>
      </c>
      <c r="H318" t="s">
        <v>120</v>
      </c>
      <c r="I318" t="s">
        <v>58</v>
      </c>
      <c r="J318" t="s">
        <v>59</v>
      </c>
      <c r="K318" t="s">
        <v>93</v>
      </c>
      <c r="L318" t="s">
        <v>94</v>
      </c>
      <c r="M318" t="s">
        <v>95</v>
      </c>
      <c r="N318">
        <v>305</v>
      </c>
      <c r="O318">
        <v>1963.66</v>
      </c>
      <c r="P318">
        <f t="shared" si="3"/>
        <v>598916.30000000005</v>
      </c>
      <c r="Q318">
        <v>15</v>
      </c>
      <c r="R318">
        <v>23</v>
      </c>
      <c r="S318">
        <f t="shared" si="5"/>
        <v>8</v>
      </c>
      <c r="T318" t="str">
        <f t="shared" si="4"/>
        <v>No</v>
      </c>
      <c r="U318">
        <v>239</v>
      </c>
      <c r="V318">
        <v>408</v>
      </c>
      <c r="W318">
        <v>598</v>
      </c>
      <c r="X318">
        <v>8</v>
      </c>
      <c r="Y318">
        <v>12</v>
      </c>
      <c r="Z318">
        <v>1368.51</v>
      </c>
      <c r="AA318">
        <v>2098</v>
      </c>
      <c r="AB318">
        <v>0.93</v>
      </c>
    </row>
    <row r="319" spans="1:28" x14ac:dyDescent="0.3">
      <c r="A319" t="s">
        <v>489</v>
      </c>
      <c r="B319">
        <v>45640</v>
      </c>
      <c r="C319" t="s">
        <v>64</v>
      </c>
      <c r="D319" t="s">
        <v>65</v>
      </c>
      <c r="E319" t="s">
        <v>66</v>
      </c>
      <c r="F319" t="s">
        <v>102</v>
      </c>
      <c r="G319" t="s">
        <v>155</v>
      </c>
      <c r="H319" t="s">
        <v>156</v>
      </c>
      <c r="I319" t="s">
        <v>58</v>
      </c>
      <c r="J319" t="s">
        <v>92</v>
      </c>
      <c r="K319" t="s">
        <v>70</v>
      </c>
      <c r="L319" t="s">
        <v>71</v>
      </c>
      <c r="M319" t="s">
        <v>72</v>
      </c>
      <c r="N319">
        <v>916</v>
      </c>
      <c r="O319">
        <v>85.32</v>
      </c>
      <c r="P319">
        <f t="shared" si="3"/>
        <v>78153.119999999995</v>
      </c>
      <c r="Q319">
        <v>8</v>
      </c>
      <c r="R319">
        <v>16</v>
      </c>
      <c r="S319">
        <f t="shared" si="5"/>
        <v>8</v>
      </c>
      <c r="T319" t="str">
        <f t="shared" si="4"/>
        <v>No</v>
      </c>
      <c r="U319">
        <v>1691</v>
      </c>
      <c r="V319">
        <v>1307</v>
      </c>
      <c r="W319">
        <v>1301</v>
      </c>
      <c r="X319">
        <v>2</v>
      </c>
      <c r="Y319">
        <v>3</v>
      </c>
      <c r="Z319">
        <v>62.97</v>
      </c>
      <c r="AA319">
        <v>2279</v>
      </c>
      <c r="AB319">
        <v>0.82</v>
      </c>
    </row>
    <row r="320" spans="1:28" x14ac:dyDescent="0.3">
      <c r="A320" t="s">
        <v>490</v>
      </c>
      <c r="B320">
        <v>45640</v>
      </c>
      <c r="C320" t="s">
        <v>100</v>
      </c>
      <c r="D320" t="s">
        <v>101</v>
      </c>
      <c r="E320" t="s">
        <v>76</v>
      </c>
      <c r="F320" t="s">
        <v>117</v>
      </c>
      <c r="G320" t="s">
        <v>56</v>
      </c>
      <c r="H320" t="s">
        <v>57</v>
      </c>
      <c r="I320" t="s">
        <v>58</v>
      </c>
      <c r="J320" t="s">
        <v>59</v>
      </c>
      <c r="K320" t="s">
        <v>80</v>
      </c>
      <c r="L320" t="s">
        <v>81</v>
      </c>
      <c r="M320" t="s">
        <v>40</v>
      </c>
      <c r="N320">
        <v>837</v>
      </c>
      <c r="O320">
        <v>880.06</v>
      </c>
      <c r="P320">
        <f t="shared" si="3"/>
        <v>736610.22</v>
      </c>
      <c r="Q320">
        <v>29</v>
      </c>
      <c r="R320">
        <v>32</v>
      </c>
      <c r="S320">
        <f t="shared" si="5"/>
        <v>3</v>
      </c>
      <c r="T320" t="str">
        <f t="shared" si="4"/>
        <v>No</v>
      </c>
      <c r="U320">
        <v>2287</v>
      </c>
      <c r="V320">
        <v>312</v>
      </c>
      <c r="W320">
        <v>334</v>
      </c>
      <c r="X320">
        <v>4</v>
      </c>
      <c r="Y320">
        <v>6</v>
      </c>
      <c r="Z320">
        <v>620.02</v>
      </c>
      <c r="AA320">
        <v>4886</v>
      </c>
      <c r="AB320">
        <v>0.89</v>
      </c>
    </row>
    <row r="321" spans="1:28" x14ac:dyDescent="0.3">
      <c r="A321" t="s">
        <v>491</v>
      </c>
      <c r="B321">
        <v>45644</v>
      </c>
      <c r="C321" t="s">
        <v>122</v>
      </c>
      <c r="D321" t="s">
        <v>123</v>
      </c>
      <c r="E321" t="s">
        <v>89</v>
      </c>
      <c r="F321" t="s">
        <v>44</v>
      </c>
      <c r="G321" t="s">
        <v>147</v>
      </c>
      <c r="H321" t="s">
        <v>148</v>
      </c>
      <c r="I321" t="s">
        <v>58</v>
      </c>
      <c r="J321" t="s">
        <v>59</v>
      </c>
      <c r="K321" t="s">
        <v>97</v>
      </c>
      <c r="L321" t="s">
        <v>98</v>
      </c>
      <c r="M321" t="s">
        <v>51</v>
      </c>
      <c r="N321">
        <v>134</v>
      </c>
      <c r="O321">
        <v>2407.19</v>
      </c>
      <c r="P321">
        <f t="shared" si="3"/>
        <v>322563.46000000002</v>
      </c>
      <c r="Q321">
        <v>30</v>
      </c>
      <c r="R321">
        <v>30</v>
      </c>
      <c r="S321">
        <f t="shared" si="5"/>
        <v>0</v>
      </c>
      <c r="T321" t="str">
        <f t="shared" si="4"/>
        <v>Yes</v>
      </c>
      <c r="U321">
        <v>2043</v>
      </c>
      <c r="V321">
        <v>44</v>
      </c>
      <c r="W321">
        <v>52</v>
      </c>
      <c r="X321">
        <v>8</v>
      </c>
      <c r="Y321">
        <v>12</v>
      </c>
      <c r="Z321">
        <v>1621.92</v>
      </c>
      <c r="AA321">
        <v>7083</v>
      </c>
      <c r="AB321">
        <v>0.98</v>
      </c>
    </row>
    <row r="322" spans="1:28" x14ac:dyDescent="0.3">
      <c r="A322" t="s">
        <v>492</v>
      </c>
      <c r="B322">
        <v>45647</v>
      </c>
      <c r="C322" t="s">
        <v>53</v>
      </c>
      <c r="D322" t="s">
        <v>54</v>
      </c>
      <c r="E322" t="s">
        <v>32</v>
      </c>
      <c r="F322" t="s">
        <v>33</v>
      </c>
      <c r="G322" t="s">
        <v>141</v>
      </c>
      <c r="H322" t="s">
        <v>142</v>
      </c>
      <c r="I322" t="s">
        <v>47</v>
      </c>
      <c r="J322" t="s">
        <v>48</v>
      </c>
      <c r="K322" t="s">
        <v>38</v>
      </c>
      <c r="L322" t="s">
        <v>39</v>
      </c>
      <c r="M322" t="s">
        <v>40</v>
      </c>
      <c r="N322">
        <v>201</v>
      </c>
      <c r="O322">
        <v>446.15</v>
      </c>
      <c r="P322">
        <f t="shared" si="3"/>
        <v>89676.15</v>
      </c>
      <c r="Q322">
        <v>11</v>
      </c>
      <c r="R322">
        <v>11</v>
      </c>
      <c r="S322">
        <f t="shared" si="5"/>
        <v>0</v>
      </c>
      <c r="T322" t="str">
        <f t="shared" si="4"/>
        <v>Yes</v>
      </c>
      <c r="U322">
        <v>1094</v>
      </c>
      <c r="V322">
        <v>222</v>
      </c>
      <c r="W322">
        <v>253</v>
      </c>
      <c r="X322">
        <v>3</v>
      </c>
      <c r="Y322">
        <v>5</v>
      </c>
      <c r="Z322">
        <v>353.88</v>
      </c>
      <c r="AA322">
        <v>3067</v>
      </c>
      <c r="AB322">
        <v>0.87</v>
      </c>
    </row>
  </sheetData>
  <mergeCells count="1">
    <mergeCell ref="F1:I1"/>
  </mergeCells>
  <dataValidations count="1">
    <dataValidation type="list" allowBlank="1" sqref="I3:I322" xr:uid="{200922B8-FCC6-404F-B8A6-787820FF9817}">
      <formula1>"North,South,East,West,Central"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kaulagi</dc:creator>
  <cp:lastModifiedBy>Siddharth kaulagi</cp:lastModifiedBy>
  <dcterms:created xsi:type="dcterms:W3CDTF">2026-04-27T17:38:55Z</dcterms:created>
  <dcterms:modified xsi:type="dcterms:W3CDTF">2026-04-27T17:41:41Z</dcterms:modified>
</cp:coreProperties>
</file>